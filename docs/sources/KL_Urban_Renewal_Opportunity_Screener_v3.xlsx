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4b39ed158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" sheetId="1" r:id="R0440095a37464739"/>
    <x:sheet xmlns:r="http://schemas.openxmlformats.org/officeDocument/2006/relationships" name="8 Specific Sites" sheetId="2" r:id="R72808472ba454241"/>
    <x:sheet xmlns:r="http://schemas.openxmlformats.org/officeDocument/2006/relationships" name="JWP 49 Exact Lots" sheetId="3" r:id="Re9757e8b10354dd4"/>
    <x:sheet xmlns:r="http://schemas.openxmlformats.org/officeDocument/2006/relationships" name="Top 20 Watchlist" sheetId="4" r:id="Rb9df241c13064593"/>
    <x:sheet xmlns:r="http://schemas.openxmlformats.org/officeDocument/2006/relationships" name="RLV Inputs" sheetId="5" r:id="Rd091d034ce524da7"/>
    <x:sheet xmlns:r="http://schemas.openxmlformats.org/officeDocument/2006/relationships" name="RLV Model" sheetId="6" r:id="R028e3b562b0d4217"/>
    <x:sheet xmlns:r="http://schemas.openxmlformats.org/officeDocument/2006/relationships" name="RLV Summary" sheetId="7" r:id="R4228e7a4494b40d8"/>
    <x:sheet xmlns:r="http://schemas.openxmlformats.org/officeDocument/2006/relationships" name="Taman Taiping Owner Econ" sheetId="8" r:id="Ra91d371ce3454c30"/>
    <x:sheet xmlns:r="http://schemas.openxmlformats.org/officeDocument/2006/relationships" name="Free Diligence Proxy" sheetId="9" r:id="R6473ccad34dd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%"/>
    <x:numFmt numFmtId="201" formatCode="0.0"/>
    <x:numFmt numFmtId="202" formatCode="0.0x"/>
    <x:numFmt numFmtId="203" formatCode="RM #,##0;[Red](RM #,##0);-"/>
    <x:numFmt numFmtId="204" formatCode="#,##0"/>
    <x:numFmt numFmtId="205" formatCode="0.0%"/>
    <x:numFmt numFmtId="206" formatCode="0.00x"/>
    <x:numFmt numFmtId="207" formatCode="RM #,##0.0;[Red](RM #,##0.0);-"/>
    <x:numFmt numFmtId="208" formatCode="0.00"/>
    <x:numFmt numFmtId="209" formatCode="0.0%;[Red](0.0%);-"/>
    <x:numFmt numFmtId="210" formatCode="#,##0.00"/>
    <x:numFmt numFmtId="211" formatCode="0.000"/>
  </x:numFmts>
  <x:fonts count="14">
    <x:font>
      <x:sz val="11"/>
      <x:name val="Carlito"/>
    </x:font>
    <x:font>
      <x:sz val="10"/>
      <x:name val="Aptos"/>
    </x:font>
    <x:font>
      <x:b/>
      <x:sz val="16"/>
      <x:color rgb="FFFFFFFF"/>
      <x:name val="Aptos"/>
    </x:font>
    <x:font>
      <x:b/>
      <x:sz val="10"/>
      <x:name val="Aptos"/>
    </x:font>
    <x:font>
      <x:b/>
      <x:sz val="10"/>
      <x:color rgb="FFFFFFFF"/>
      <x:name val="Aptos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sz val="10"/>
      <x:color rgb="FF0000FF"/>
      <x:name val="Aptos"/>
    </x:font>
    <x:font>
      <x:sz val="10"/>
      <x:color rgb="FF008000"/>
      <x:name val="Aptos"/>
    </x:font>
    <x:font>
      <x:sz val="10"/>
      <x:color rgb="FF000000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17365D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</x:fills>
  <x:borders count="3">
    <x:border/>
    <x:border/>
    <x:border>
      <x:bottom style="thin">
        <x:color rgb="FF808080"/>
      </x:bottom>
    </x:border>
  </x:borders>
  <x:cellStyleXfs count="1">
    <x:xf numFmtId="0" fontId="0" fillId="0" borderId="0"/>
  </x:cellStyleXfs>
  <x:cellXfs count="2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top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1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8" borderId="0" xfId="0" applyNumberFormat="1" applyFont="1" applyFill="1" applyBorder="1"/>
    <x:xf numFmtId="202" fontId="8" fillId="8" borderId="0" xfId="0" applyNumberFormat="1" applyFont="1" applyFill="1" applyBorder="1"/>
    <x:xf numFmtId="203" fontId="8" fillId="8" borderId="0" xfId="0" applyNumberFormat="1" applyFont="1" applyFill="1" applyBorder="1"/>
    <x:xf numFmtId="204" fontId="8" fillId="8" borderId="0" xfId="0" applyNumberFormat="1" applyFont="1" applyFill="1" applyBorder="1"/>
    <x:xf numFmtId="205" fontId="8" fillId="8" borderId="0" xfId="0" applyNumberFormat="1" applyFont="1" applyFill="1" applyBorder="1"/>
    <x:xf numFmtId="206" fontId="8" fillId="8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204" fontId="9" fillId="0" borderId="0" xfId="0" applyNumberFormat="1" applyFont="1" applyFill="1" applyBorder="1"/>
    <x:xf numFmtId="206" fontId="9" fillId="0" borderId="0" xfId="0" applyNumberFormat="1" applyFont="1" applyFill="1" applyBorder="1"/>
    <x:xf numFmtId="206" fontId="10" fillId="0" borderId="0" xfId="0" applyNumberFormat="1" applyFont="1" applyFill="1" applyBorder="1"/>
    <x:xf numFmtId="204" fontId="10" fillId="0" borderId="0" xfId="0" applyNumberFormat="1" applyFont="1" applyFill="1" applyBorder="1"/>
    <x:xf numFmtId="205" fontId="9" fillId="0" borderId="0" xfId="0" applyNumberFormat="1" applyFont="1" applyFill="1" applyBorder="1"/>
    <x:xf numFmtId="203" fontId="9" fillId="0" borderId="0" xfId="0" applyNumberFormat="1" applyFont="1" applyFill="1" applyBorder="1"/>
    <x:xf numFmtId="207" fontId="10" fillId="0" borderId="0" xfId="0" applyNumberFormat="1" applyFont="1" applyFill="1" applyBorder="1"/>
    <x:xf numFmtId="207" fontId="9" fillId="0" borderId="0" xfId="0" applyNumberFormat="1" applyFont="1" applyFill="1" applyBorder="1"/>
    <x:xf numFmtId="203" fontId="10" fillId="0" borderId="0" xfId="0" applyNumberFormat="1" applyFont="1" applyFill="1" applyBorder="1"/>
    <x:xf numFmtId="207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 wrapText="1"/>
    </x:xf>
    <x:xf numFmtId="202" fontId="11" fillId="8" borderId="0" xfId="0" applyNumberFormat="1" applyFont="1" applyFill="1" applyBorder="1"/>
    <x:xf numFmtId="0" fontId="11" fillId="8" borderId="0" xfId="0" applyNumberFormat="1" applyFont="1" applyFill="1" applyBorder="1"/>
    <x:xf numFmtId="203" fontId="11" fillId="8" borderId="0" xfId="0" applyNumberFormat="1" applyFont="1" applyFill="1" applyBorder="1"/>
    <x:xf numFmtId="0" fontId="4" fillId="5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204" fontId="11" fillId="8" borderId="0" xfId="0" applyNumberFormat="1" applyFont="1" applyFill="1" applyBorder="1"/>
    <x:xf numFmtId="205" fontId="11" fillId="8" borderId="0" xfId="0" applyNumberFormat="1" applyFont="1" applyFill="1" applyBorder="1"/>
    <x:xf numFmtId="206" fontId="11" fillId="8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top"/>
    </x:xf>
    <x:xf numFmtId="0" fontId="4" fillId="6" borderId="0" xfId="0" applyNumberFormat="1" applyFont="1" applyFill="1" applyBorder="1" applyAlignment="1">
      <x:alignment horizontal="center" vertical="top" wrapText="1"/>
    </x:xf>
    <x:xf numFmtId="202" fontId="11" fillId="8" borderId="0" xfId="0" applyNumberFormat="1" applyFont="1" applyFill="1" applyBorder="1" applyAlignment="1">
      <x:alignment vertical="top"/>
    </x:xf>
    <x:xf numFmtId="0" fontId="11" fillId="8" borderId="0" xfId="0" applyNumberFormat="1" applyFont="1" applyFill="1" applyBorder="1" applyAlignment="1">
      <x:alignment vertical="top"/>
    </x:xf>
    <x:xf numFmtId="203" fontId="11" fillId="8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  <x:xf numFmtId="0" fontId="3" fillId="7" borderId="0" xfId="0" applyNumberFormat="1" applyFont="1" applyFill="1" applyBorder="1" applyAlignment="1">
      <x:alignment horizontal="center" vertical="top"/>
    </x:xf>
    <x:xf numFmtId="204" fontId="11" fillId="8" borderId="0" xfId="0" applyNumberFormat="1" applyFont="1" applyFill="1" applyBorder="1" applyAlignment="1">
      <x:alignment vertical="top"/>
    </x:xf>
    <x:xf numFmtId="205" fontId="11" fillId="8" borderId="0" xfId="0" applyNumberFormat="1" applyFont="1" applyFill="1" applyBorder="1" applyAlignment="1">
      <x:alignment vertical="top"/>
    </x:xf>
    <x:xf numFmtId="206" fontId="11" fillId="8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wrapText="1"/>
    </x:xf>
    <x:xf numFmtId="204" fontId="12" fillId="0" borderId="0" xfId="0" applyNumberFormat="1" applyFont="1" applyFill="1" applyBorder="1"/>
    <x:xf numFmtId="206" fontId="12" fillId="0" borderId="0" xfId="0" applyNumberFormat="1" applyFont="1" applyFill="1" applyBorder="1"/>
    <x:xf numFmtId="206" fontId="13" fillId="0" borderId="0" xfId="0" applyNumberFormat="1" applyFont="1" applyFill="1" applyBorder="1"/>
    <x:xf numFmtId="204" fontId="13" fillId="0" borderId="0" xfId="0" applyNumberFormat="1" applyFont="1" applyFill="1" applyBorder="1"/>
    <x:xf numFmtId="205" fontId="12" fillId="0" borderId="0" xfId="0" applyNumberFormat="1" applyFont="1" applyFill="1" applyBorder="1"/>
    <x:xf numFmtId="203" fontId="12" fillId="0" borderId="0" xfId="0" applyNumberFormat="1" applyFont="1" applyFill="1" applyBorder="1"/>
    <x:xf numFmtId="207" fontId="13" fillId="0" borderId="0" xfId="0" applyNumberFormat="1" applyFont="1" applyFill="1" applyBorder="1"/>
    <x:xf numFmtId="207" fontId="12" fillId="0" borderId="0" xfId="0" applyNumberFormat="1" applyFont="1" applyFill="1" applyBorder="1"/>
    <x:xf numFmtId="203" fontId="13" fillId="0" borderId="0" xfId="0" applyNumberFormat="1" applyFont="1" applyFill="1" applyBorder="1"/>
    <x:xf numFmtId="204" fontId="12" fillId="0" borderId="0" xfId="0" applyNumberFormat="1" applyFont="1" applyFill="1" applyBorder="1" applyAlignment="1">
      <x:alignment vertical="top"/>
    </x:xf>
    <x:xf numFmtId="206" fontId="12" fillId="0" borderId="0" xfId="0" applyNumberFormat="1" applyFont="1" applyFill="1" applyBorder="1" applyAlignment="1">
      <x:alignment vertical="top"/>
    </x:xf>
    <x:xf numFmtId="206" fontId="13" fillId="0" borderId="0" xfId="0" applyNumberFormat="1" applyFont="1" applyFill="1" applyBorder="1" applyAlignment="1">
      <x:alignment vertical="top"/>
    </x:xf>
    <x:xf numFmtId="204" fontId="13" fillId="0" borderId="0" xfId="0" applyNumberFormat="1" applyFont="1" applyFill="1" applyBorder="1" applyAlignment="1">
      <x:alignment vertical="top"/>
    </x:xf>
    <x:xf numFmtId="205" fontId="12" fillId="0" borderId="0" xfId="0" applyNumberFormat="1" applyFont="1" applyFill="1" applyBorder="1" applyAlignment="1">
      <x:alignment vertical="top"/>
    </x:xf>
    <x:xf numFmtId="203" fontId="12" fillId="0" borderId="0" xfId="0" applyNumberFormat="1" applyFont="1" applyFill="1" applyBorder="1" applyAlignment="1">
      <x:alignment vertical="top"/>
    </x:xf>
    <x:xf numFmtId="207" fontId="13" fillId="0" borderId="0" xfId="0" applyNumberFormat="1" applyFont="1" applyFill="1" applyBorder="1" applyAlignment="1">
      <x:alignment vertical="top"/>
    </x:xf>
    <x:xf numFmtId="207" fontId="12" fillId="0" borderId="0" xfId="0" applyNumberFormat="1" applyFont="1" applyFill="1" applyBorder="1" applyAlignment="1">
      <x:alignment vertical="top"/>
    </x:xf>
    <x:xf numFmtId="203" fontId="1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/>
    </x:xf>
    <x:xf numFmtId="202" fontId="11" fillId="8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  <x:xf numFmtId="203" fontId="11" fillId="8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204" fontId="11" fillId="8" borderId="0" xfId="0" applyNumberFormat="1" applyFont="1" applyFill="1" applyBorder="1" applyAlignment="1">
      <x:alignment vertical="top" wrapText="1"/>
    </x:xf>
    <x:xf numFmtId="205" fontId="11" fillId="8" borderId="0" xfId="0" applyNumberFormat="1" applyFont="1" applyFill="1" applyBorder="1" applyAlignment="1">
      <x:alignment vertical="top" wrapText="1"/>
    </x:xf>
    <x:xf numFmtId="206" fontId="11" fillId="8" borderId="0" xfId="0" applyNumberFormat="1" applyFont="1" applyFill="1" applyBorder="1" applyAlignment="1">
      <x:alignment vertical="top" wrapText="1"/>
    </x:xf>
    <x:xf numFmtId="204" fontId="12" fillId="0" borderId="0" xfId="0" applyNumberFormat="1" applyFont="1" applyFill="1" applyBorder="1" applyAlignment="1">
      <x:alignment vertical="top" wrapText="1"/>
    </x:xf>
    <x:xf numFmtId="206" fontId="12" fillId="0" borderId="0" xfId="0" applyNumberFormat="1" applyFont="1" applyFill="1" applyBorder="1" applyAlignment="1">
      <x:alignment vertical="top" wrapText="1"/>
    </x:xf>
    <x:xf numFmtId="206" fontId="13" fillId="0" borderId="0" xfId="0" applyNumberFormat="1" applyFont="1" applyFill="1" applyBorder="1" applyAlignment="1">
      <x:alignment vertical="top" wrapText="1"/>
    </x:xf>
    <x:xf numFmtId="204" fontId="13" fillId="0" borderId="0" xfId="0" applyNumberFormat="1" applyFont="1" applyFill="1" applyBorder="1" applyAlignment="1">
      <x:alignment vertical="top" wrapText="1"/>
    </x:xf>
    <x:xf numFmtId="205" fontId="12" fillId="0" borderId="0" xfId="0" applyNumberFormat="1" applyFont="1" applyFill="1" applyBorder="1" applyAlignment="1">
      <x:alignment vertical="top" wrapText="1"/>
    </x:xf>
    <x:xf numFmtId="203" fontId="12" fillId="0" borderId="0" xfId="0" applyNumberFormat="1" applyFont="1" applyFill="1" applyBorder="1" applyAlignment="1">
      <x:alignment vertical="top" wrapText="1"/>
    </x:xf>
    <x:xf numFmtId="207" fontId="13" fillId="0" borderId="0" xfId="0" applyNumberFormat="1" applyFont="1" applyFill="1" applyBorder="1" applyAlignment="1">
      <x:alignment vertical="top" wrapText="1"/>
    </x:xf>
    <x:xf numFmtId="207" fontId="12" fillId="0" borderId="0" xfId="0" applyNumberFormat="1" applyFont="1" applyFill="1" applyBorder="1" applyAlignment="1">
      <x:alignment vertical="top" wrapText="1"/>
    </x:xf>
    <x:xf numFmtId="203" fontId="13" fillId="0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horizontal="center" vertical="center"/>
    </x:xf>
    <x:xf numFmtId="0" fontId="4" fillId="10" borderId="0" xfId="0" applyNumberFormat="1" applyFont="1" applyFill="1" applyBorder="1"/>
    <x:xf numFmtId="0" fontId="4" fillId="11" borderId="0" xfId="0" applyNumberFormat="1" applyFont="1" applyFill="1" applyBorder="1"/>
    <x:xf numFmtId="0" fontId="1" fillId="12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horizontal="center" vertical="top"/>
    </x:xf>
    <x:xf numFmtId="0" fontId="4" fillId="10" borderId="0" xfId="0" applyNumberFormat="1" applyFont="1" applyFill="1" applyBorder="1" applyAlignment="1">
      <x:alignment vertical="top"/>
    </x:xf>
    <x:xf numFmtId="0" fontId="4" fillId="11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0" fontId="11" fillId="12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202" fontId="11" fillId="12" borderId="0" xfId="0" applyNumberFormat="1" applyFont="1" applyFill="1" applyBorder="1" applyAlignment="1">
      <x:alignment vertical="top" wrapText="1"/>
    </x:xf>
    <x:xf numFmtId="203" fontId="11" fillId="12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4" fontId="11" fillId="12" borderId="0" xfId="0" applyNumberFormat="1" applyFont="1" applyFill="1" applyBorder="1" applyAlignment="1">
      <x:alignment vertical="top" wrapText="1"/>
    </x:xf>
    <x:xf numFmtId="205" fontId="11" fillId="12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8" fontId="1" fillId="0" borderId="0" xfId="0" applyNumberFormat="1" applyFont="1" applyFill="1" applyBorder="1" applyAlignment="1">
      <x:alignment vertical="top" wrapText="1"/>
    </x:xf>
    <x:xf numFmtId="209" fontId="1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 applyAlignment="1">
      <x:alignment horizontal="center" vertical="center"/>
    </x:xf>
    <x:xf numFmtId="0" fontId="6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horizontal="center" vertical="center"/>
    </x:xf>
    <x:xf numFmtId="0" fontId="4" fillId="13" borderId="0" xfId="0" applyNumberFormat="1" applyFont="1" applyFill="1" applyBorder="1"/>
    <x:xf numFmtId="0" fontId="4" fillId="14" borderId="0" xfId="0" applyNumberFormat="1" applyFont="1" applyFill="1" applyBorder="1"/>
    <x:xf numFmtId="0" fontId="1" fillId="15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horizontal="center" vertical="top"/>
    </x:xf>
    <x:xf numFmtId="0" fontId="4" fillId="13" borderId="0" xfId="0" applyNumberFormat="1" applyFont="1" applyFill="1" applyBorder="1" applyAlignment="1">
      <x:alignment vertical="top"/>
    </x:xf>
    <x:xf numFmtId="0" fontId="4" fillId="14" borderId="0" xfId="0" applyNumberFormat="1" applyFont="1" applyFill="1" applyBorder="1" applyAlignment="1">
      <x:alignment vertical="top"/>
    </x:xf>
    <x:xf numFmtId="0" fontId="13" fillId="0" borderId="0" xfId="0" applyNumberFormat="1" applyFont="1" applyFill="1" applyBorder="1" applyAlignment="1">
      <x:alignment vertical="top" wrapText="1"/>
    </x:xf>
    <x:xf numFmtId="210" fontId="1" fillId="0" borderId="0" xfId="0" applyNumberFormat="1" applyFont="1" applyFill="1" applyBorder="1" applyAlignment="1">
      <x:alignment vertical="top" wrapText="1"/>
    </x:xf>
    <x:xf numFmtId="211" fontId="11" fillId="0" borderId="0" xfId="0" applyNumberFormat="1" applyFont="1" applyFill="1" applyBorder="1" applyAlignment="1">
      <x:alignment vertical="top" wrapText="1"/>
    </x:xf>
    <x:xf numFmtId="201" fontId="13" fillId="0" borderId="0" xfId="0" applyNumberFormat="1" applyFont="1" applyFill="1" applyBorder="1" applyAlignment="1">
      <x:alignment vertical="top" wrapText="1"/>
    </x:xf>
    <x:xf numFmtId="209" fontId="1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FF0000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351cc35b04aa9" /><Relationship Type="http://schemas.openxmlformats.org/officeDocument/2006/relationships/theme" Target="/xl/theme/theme1.xml" Id="Rdda89ceec93c4050" /><Relationship Type="http://schemas.openxmlformats.org/officeDocument/2006/relationships/sharedStrings" Target="/xl/sharedStrings.xml" Id="R37dcbb0b500d44cb" /><Relationship Type="http://schemas.openxmlformats.org/officeDocument/2006/relationships/worksheet" Target="/xl/worksheets/sheet1.xml" Id="R0440095a37464739" /><Relationship Type="http://schemas.openxmlformats.org/officeDocument/2006/relationships/worksheet" Target="/xl/worksheets/sheet2.xml" Id="R72808472ba454241" /><Relationship Type="http://schemas.openxmlformats.org/officeDocument/2006/relationships/worksheet" Target="/xl/worksheets/sheet3.xml" Id="Re9757e8b10354dd4" /><Relationship Type="http://schemas.openxmlformats.org/officeDocument/2006/relationships/worksheet" Target="/xl/worksheets/sheet4.xml" Id="Rb9df241c13064593" /><Relationship Type="http://schemas.openxmlformats.org/officeDocument/2006/relationships/worksheet" Target="/xl/worksheets/sheet5.xml" Id="Rd091d034ce524da7" /><Relationship Type="http://schemas.openxmlformats.org/officeDocument/2006/relationships/worksheet" Target="/xl/worksheets/sheet6.xml" Id="R028e3b562b0d4217" /><Relationship Type="http://schemas.openxmlformats.org/officeDocument/2006/relationships/worksheet" Target="/xl/worksheets/sheet7.xml" Id="R4228e7a4494b40d8" /><Relationship Type="http://schemas.openxmlformats.org/officeDocument/2006/relationships/worksheet" Target="/xl/worksheets/sheet8.xml" Id="Ra91d371ce3454c30" /><Relationship Type="http://schemas.openxmlformats.org/officeDocument/2006/relationships/worksheet" Target="/xl/worksheets/sheet9.xml" Id="R6473ccad34dd4f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e9f4fa2db94d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 residual land value per land sq ft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Base RLV</c:v>
          </c:tx>
          <c:cat>
            <c:strRef>
              <c:f>'RLV Summary'!$A$4:$A$8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'RLV Summary'!$E$4:$E$8</c:f>
              <c:numCache>
                <c:formatCode>RM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e9f4fa2db94d1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pecificSitesTable" displayName="SpecificSitesTable" ref="A1:G9" headerRowCount="1" totalsRowCount="0" totalsRowShown="0">
  <x:tableColumns count="7">
    <x:tableColumn id="1" name="Site"/>
    <x:tableColumn id="2" name="Official location / access"/>
    <x:tableColumn id="3" name="Zone"/>
    <x:tableColumn id="4" name="Base plot ratio"/>
    <x:tableColumn id="5" name="Minimum assembly / condition"/>
    <x:tableColumn id="6" name="Why it matters"/>
    <x:tableColumn id="7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WP49Table" displayName="JWP49Table" ref="A1:G50" headerRowCount="1" totalsRowCount="0" totalsRowShown="0">
  <x:tableColumns count="7">
    <x:tableColumn id="1" name="No."/>
    <x:tableColumn id="2" name="Site"/>
    <x:tableColumn id="3" name="Category"/>
    <x:tableColumn id="4" name="Mukim / Seksyen"/>
    <x:tableColumn id="5" name="Parliament"/>
    <x:tableColumn id="6" name="Official lot number(s)"/>
    <x:tableColumn id="7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20Table" displayName="Top20Table" ref="A1:L21" headerRowCount="1" totalsRowCount="0" totalsRowShown="0">
  <x:tableColumns count="12">
    <x:tableColumn id="1" name="Rank"/>
    <x:tableColumn id="2" name="Site"/>
    <x:tableColumn id="3" name="Official anchor"/>
    <x:tableColumn id="4" name="Structural upside"/>
    <x:tableColumn id="5" name="Planning clarity"/>
    <x:tableColumn id="6" name="Dealability"/>
    <x:tableColumn id="7" name="Low competition / info edge"/>
    <x:tableColumn id="8" name="Weighted score"/>
    <x:tableColumn id="9" name="Stage"/>
    <x:tableColumn id="10" name="Core thesis"/>
    <x:tableColumn id="11" name="Main risk"/>
    <x:tableColumn id="12" name="Primary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LVSiteInputsTable" displayName="RLVSiteInputsTable" ref="A3:J8" headerRowCount="1" totalsRowCount="0" totalsRowShown="0">
  <x:tableColumns count="10">
    <x:tableColumn id="1" name="Site"/>
    <x:tableColumn id="2" name="Official / provisional base PR"/>
    <x:tableColumn id="3" name="PR status"/>
    <x:tableColumn id="4" name="Downside ASP (RM/sf saleable)"/>
    <x:tableColumn id="5" name="Base ASP (RM/sf saleable)"/>
    <x:tableColumn id="6" name="Upside ASP (RM/sf saleable)"/>
    <x:tableColumn id="7" name="Base hard cost (RM/sf GFA)"/>
    <x:tableColumn id="8" name="Market benchmark / rationale"/>
    <x:tableColumn id="9" name="Planning source"/>
    <x:tableColumn id="10" name="Market / cost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LVScenarioTable" displayName="RLVScenarioTable" ref="A3:W18" headerRowCount="1" totalsRowCount="0" totalsRowShown="0">
  <x:tableColumns count="23">
    <x:tableColumn id="1" name="Site"/>
    <x:tableColumn id="2" name="Scenario"/>
    <x:tableColumn id="3" name="Land area (sf)"/>
    <x:tableColumn id="4" name="Base PR"/>
    <x:tableColumn id="5" name="PR uplift"/>
    <x:tableColumn id="6" name="Effective PR"/>
    <x:tableColumn id="7" name="GFA (sf)"/>
    <x:tableColumn id="8" name="Saleable efficiency"/>
    <x:tableColumn id="9" name="Saleable area (sf)"/>
    <x:tableColumn id="10" name="ASP (RM/sf)"/>
    <x:tableColumn id="11" name="GDV (RM m)"/>
    <x:tableColumn id="12" name="Hard cost (RM/sf GFA)"/>
    <x:tableColumn id="13" name="Hard cost (RM m)"/>
    <x:tableColumn id="14" name="Prof. fees (RM m)"/>
    <x:tableColumn id="15" name="Contingency (RM m)"/>
    <x:tableColumn id="16" name="Statutory/infra (RM m)"/>
    <x:tableColumn id="17" name="S&amp;M (RM m)"/>
    <x:tableColumn id="18" name="Finance (RM m)"/>
    <x:tableColumn id="19" name="Demo/relocation (RM m)"/>
    <x:tableColumn id="20" name="Developer profit (RM m)"/>
    <x:tableColumn id="21" name="Residual land value (RM m)"/>
    <x:tableColumn id="22" name="RLV (RM/land sf)"/>
    <x:tableColumn id="23" name="Breakeven ASP (RM/sf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LVSummaryTable" displayName="RLVSummaryTable" ref="A3:I8" headerRowCount="1" totalsRowCount="0" totalsRowShown="0">
  <x:tableColumns count="9">
    <x:tableColumn id="1" name="Site"/>
    <x:tableColumn id="2" name="Downside RLV / acre (RM m)"/>
    <x:tableColumn id="3" name="Base RLV / acre (RM m)"/>
    <x:tableColumn id="4" name="Upside RLV / acre (RM m)"/>
    <x:tableColumn id="5" name="Base RLV (RM/land sf)"/>
    <x:tableColumn id="6" name="Base breakeven ASP (RM/sf)"/>
    <x:tableColumn id="7" name="Base ASP assumption (RM/sf)"/>
    <x:tableColumn id="8" name="Spread to breakeven"/>
    <x:tableColumn id="9" name="First-pass interpre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TInputsTable" displayName="TTInputsTable" ref="A4:F15" headerRowCount="1" totalsRowCount="0" totalsRowShown="0">
  <x:tableColumns count="6">
    <x:tableColumn id="1" name="Input"/>
    <x:tableColumn id="2" name="Value"/>
    <x:tableColumn id="3" name="Unit"/>
    <x:tableColumn id="4" name="Status"/>
    <x:tableColumn id="5" name="Source / rationale"/>
    <x:tableColumn id="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TOwnerTable" displayName="TTOwnerTable" ref="A19:F26" headerRowCount="1" totalsRowCount="0" totalsRowShown="0">
  <x:tableColumns count="6">
    <x:tableColumn id="1" name="Metric"/>
    <x:tableColumn id="2" name="Formula / value"/>
    <x:tableColumn id="3" name="Unit"/>
    <x:tableColumn id="4" name="Interpretation"/>
    <x:tableColumn id="5" name="Source"/>
    <x:tableColumn id="6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TEvidenceTable" displayName="TTEvidenceTable" ref="A57:C64" headerRowCount="1" totalsRowCount="0" totalsRowShown="0">
  <x:tableColumns count="3">
    <x:tableColumn id="1" name="Evidence"/>
    <x:tableColumn id="2" name="Finding"/>
    <x:tableColumn id="3" name="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reeAreaTable" displayName="FreeAreaTable" ref="A4:F10" headerRowCount="1" totalsRowCount="0" totalsRowShown="0">
  <x:tableColumns count="6">
    <x:tableColumn id="1" name="Metric"/>
    <x:tableColumn id="2" name="Value"/>
    <x:tableColumn id="3" name="Unit"/>
    <x:tableColumn id="4" name="Status"/>
    <x:tableColumn id="5" name="Source"/>
    <x:tableColumn id="6" name="Comme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ublicAddressEvidenceTable" displayName="PublicAddressEvidenceTable" ref="A14:F24" headerRowCount="1" totalsRowCount="0" totalsRowShown="0">
  <x:tableColumns count="6">
    <x:tableColumn id="1" name="Evidence"/>
    <x:tableColumn id="2" name="Observed address / format"/>
    <x:tableColumn id="3" name="What it suggests"/>
    <x:tableColumn id="4" name="Status"/>
    <x:tableColumn id="5" name="Source"/>
    <x:tableColumn id="6" name="Cau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roxyEconomicsTable" displayName="ProxyEconomicsTable" ref="A28:E35" headerRowCount="1" totalsRowCount="0" totalsRowShown="0">
  <x:tableColumns count="5">
    <x:tableColumn id="1" name="Metric"/>
    <x:tableColumn id="2" name="Value"/>
    <x:tableColumn id="3" name="Unit"/>
    <x:tableColumn id="4" name="Source / formula"/>
    <x:tableColumn id="5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75fa92018e4c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7503bbb0534c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a3cc4141ac4d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02383b09b442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ef262a944c4a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a1659202894143c3" /><Relationship Type="http://schemas.openxmlformats.org/officeDocument/2006/relationships/table" Target="/xl/tables/table6.xml" Id="Reb356c144b4244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8514e97b3d4397" /><Relationship Type="http://schemas.openxmlformats.org/officeDocument/2006/relationships/table" Target="/xl/tables/table8.xml" Id="Rad65776428fc4dc3" /><Relationship Type="http://schemas.openxmlformats.org/officeDocument/2006/relationships/table" Target="/xl/tables/table9.xml" Id="Rb93aa37e95ba4f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91ec3f235adf4f1c" /><Relationship Type="http://schemas.openxmlformats.org/officeDocument/2006/relationships/table" Target="/xl/tables/table11.xml" Id="R7818660a9bc74a4e" /><Relationship Type="http://schemas.openxmlformats.org/officeDocument/2006/relationships/table" Target="/xl/tables/table12.xml" Id="Rcac65a442ba0420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28" t="str">
        <x:v>KL Urban Renewal Opportunity Screener</x:v>
      </x:c>
      <x:c r="B1" s="28"/>
      <x:c r="C1" s="9"/>
      <x:c r="D1" s="9"/>
      <x:c r="E1" s="9"/>
      <x:c r="F1" s="9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6"/>
      <x:c r="B2" s="26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29" t="str">
        <x:v>Score component</x:v>
      </x:c>
      <x:c r="B3" s="29" t="str">
        <x:v>Weight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26" t="str">
        <x:v>Structural upside</x:v>
      </x:c>
      <x:c r="B4" s="32" t="n">
        <x:v>0.35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26" t="str">
        <x:v>Planning clarity</x:v>
      </x:c>
      <x:c r="B5" s="32" t="n">
        <x:v>0.25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26" t="str">
        <x:v>Dealability</x:v>
      </x:c>
      <x:c r="B6" s="32" t="n">
        <x:v>0.25</x:v>
      </x:c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26" t="str">
        <x:v>Low competition / information edge</x:v>
      </x:c>
      <x:c r="B7" s="32" t="n">
        <x:v>0.15</x:v>
      </x:c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26"/>
      <x:c r="B8" s="26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29" t="str">
        <x:v>Interpretation</x:v>
      </x:c>
      <x:c r="B9" s="29" t="str">
        <x:v>Meaning</x:v>
      </x:c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26" t="str">
        <x:v>Structural upside</x:v>
      </x:c>
      <x:c r="B10" s="26" t="str">
        <x:v>Magnitude of latent land-value / redevelopment uplift, not current condo appreciation.</x:v>
      </x:c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26" t="str">
        <x:v>Planning clarity</x:v>
      </x:c>
      <x:c r="B11" s="26" t="str">
        <x:v>How clearly PTKL2040/JWP already identifies the site or gives redevelopment controls.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26" t="str">
        <x:v>Dealability</x:v>
      </x:c>
      <x:c r="B12" s="26" t="str">
        <x:v>Practical ability to assemble/control a deal; fragmented ownership and public ownership reduce this.</x:v>
      </x:c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26" t="str">
        <x:v>Low competition / information edge</x:v>
      </x:c>
      <x:c r="B13" s="26" t="str">
        <x:v>Higher = less fully crowded/obvious to developers and agents.</x:v>
      </x:c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26" t="str">
        <x:v>Important</x:v>
      </x:c>
      <x:c r="B14" s="26" t="str">
        <x:v>Scores are analytical screening scores, not DBKL/JWP ratings and not investment advice.</x:v>
      </x:c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26" t="str">
        <x:v>Location precision</x:v>
      </x:c>
      <x:c r="B15" s="26" t="str">
        <x:v>Lot numbers / official road-boundaries are preferred over approximate map pins.</x:v>
      </x:c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26"/>
      <x:c r="B16" s="26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29" t="str">
        <x:v>Key official sources</x:v>
      </x:c>
      <x:c r="B17" s="29" t="str">
        <x:v>URL</x:v>
      </x:c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26" t="str">
        <x:v>PTKL2040 final Development Control</x:v>
      </x:c>
      <x:c r="B18" s="26" t="str">
        <x:v>https://ppkl.dbkl.gov.my/wp-content/uploads/2025/06/1.-VOLUME-1-PART-1_DEVELOPMENT-CONTROL_.pdf</x:v>
      </x:c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26" t="str">
        <x:v>JWP 49 redevelopment sites</x:v>
      </x:c>
      <x:c r="B19" s="26" t="str">
        <x:v>https://www.jwp.gov.my/storage/media/49-TAPAK-PEMBANGUNAN-SEMULA-KL.pdf</x:v>
      </x:c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26" t="str">
        <x:v>PTKL2040 portal</x:v>
      </x:c>
      <x:c r="B20" s="26" t="str">
        <x:v>https://ppkl.dbkl.gov.my/</x:v>
      </x:c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26" t="str">
        <x:v>Urban Renewal Bill status (withdrawn Jan 2026)</x:v>
      </x:c>
      <x:c r="B21" s="26" t="str">
        <x:v>https://www.bernama.com/en/news.php?id=2516036</x:v>
      </x:c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26"/>
      <x:c r="B22" s="26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26"/>
      <x:c r="B23" s="26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26"/>
      <x:c r="B24" s="26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26"/>
      <x:c r="B25" s="26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5" hidden="0" customWidth="1"/>
    <x:col min="4" max="4" width="15" hidden="0" customWidth="1"/>
    <x:col min="5" max="5" width="48" hidden="0" customWidth="1"/>
    <x:col min="6" max="6" width="48" hidden="0" customWidth="1"/>
    <x:col min="7" max="7" width="55" hidden="0" customWidth="1"/>
  </x:cols>
  <x:sheetData>
    <x:row r="1">
      <x:c r="A1" s="21" t="str">
        <x:v>Site</x:v>
      </x:c>
      <x:c r="B1" s="21" t="str">
        <x:v>Official location / access</x:v>
      </x:c>
      <x:c r="C1" s="21" t="str">
        <x:v>Zone</x:v>
      </x:c>
      <x:c r="D1" s="21" t="str">
        <x:v>Base plot ratio</x:v>
      </x:c>
      <x:c r="E1" s="21" t="str">
        <x:v>Minimum assembly / condition</x:v>
      </x:c>
      <x:c r="F1" s="21" t="str">
        <x:v>Why it matters</x:v>
      </x:c>
      <x:c r="G1" s="21" t="str">
        <x:v>Source</x:v>
      </x:c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6" t="str">
        <x:v>Kampung Datuk Keramat</x:v>
      </x:c>
      <x:c r="B2" s="26" t="str">
        <x:v>Jalan Keramat / Jalan Datuk Keramat</x:v>
      </x:c>
      <x:c r="C2" s="26" t="str">
        <x:v>R3</x:v>
      </x:c>
      <x:c r="D2" s="26" t="str">
        <x:v>1:3.0</x:v>
      </x:c>
      <x:c r="E2" s="26" t="str">
        <x:v>Comprehensive/cluster development; minimum 30,000 sq ft; direct access via Jalan Keramat or Jalan Datuk Keramat</x:v>
      </x:c>
      <x:c r="F2" s="26" t="str">
        <x:v>Central location + explicit redevelopment framework</x:v>
      </x:c>
      <x:c r="G2" s="26" t="str">
        <x:v>https://ppkl.dbkl.gov.my/wp-content/uploads/2025/06/1.-VOLUME-1-PART-1_DEVELOPMENT-CONTROL_.pdf</x:v>
      </x:c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26" t="str">
        <x:v>Kampung Baru Salak Selatan</x:v>
      </x:c>
      <x:c r="B3" s="26" t="str">
        <x:v>Jalan 1/108 / Jalan 9 / Jalan 13; additional sub-area via local roads</x:v>
      </x:c>
      <x:c r="C3" s="26" t="str">
        <x:v>R3</x:v>
      </x:c>
      <x:c r="D3" s="26" t="str">
        <x:v>1:3.5</x:v>
      </x:c>
      <x:c r="E3" s="26" t="str">
        <x:v>Comprehensive/cluster; minimum 30,000 sq ft for identified sub-area(s)</x:v>
      </x:c>
      <x:c r="F3" s="26" t="str">
        <x:v>High planning clarity + lower starting land base than central KL</x:v>
      </x:c>
      <x:c r="G3" s="26" t="str">
        <x:v>https://ppkl.dbkl.gov.my/wp-content/uploads/2025/06/1.-VOLUME-1-PART-1_DEVELOPMENT-CONTROL_.pdf</x:v>
      </x:c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26" t="str">
        <x:v>Kampung Pantai, Pantai Dalam</x:v>
      </x:c>
      <x:c r="B4" s="26" t="str">
        <x:v>Pantai Dalam / around Masjid Jamek Al-Khadijah; NPE-side context</x:v>
      </x:c>
      <x:c r="C4" s="26" t="str">
        <x:v>R3</x:v>
      </x:c>
      <x:c r="D4" s="26" t="str">
        <x:v>1:3.5</x:v>
      </x:c>
      <x:c r="E4" s="26" t="str">
        <x:v>Subject to PTKL2040 redevelopment controls</x:v>
      </x:c>
      <x:c r="F4" s="26" t="str">
        <x:v>Bangsar South / Pantai growth spillover with explicit redevelopment designation</x:v>
      </x:c>
      <x:c r="G4" s="26" t="str">
        <x:v>https://ppkl.dbkl.gov.my/wp-content/uploads/2025/06/1.-VOLUME-1-PART-1_DEVELOPMENT-CONTROL_.pdf</x:v>
      </x:c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26" t="str">
        <x:v>Perumahan Kluster Jalan Rejang</x:v>
      </x:c>
      <x:c r="B5" s="26" t="str">
        <x:v>Jalan Rejang / Rejang 1 / 3 / 6 / 7 / 10</x:v>
      </x:c>
      <x:c r="C5" s="26" t="str">
        <x:v>R3</x:v>
      </x:c>
      <x:c r="D5" s="26" t="str">
        <x:v>1:3.5</x:v>
      </x:c>
      <x:c r="E5" s="26" t="str">
        <x:v>Comprehensive or cluster development; access through listed Jalan Rejang roads</x:v>
      </x:c>
      <x:c r="F5" s="26" t="str">
        <x:v>Large Setapak catchment + explicit planning mechanism</x:v>
      </x:c>
      <x:c r="G5" s="26" t="str">
        <x:v>https://ppkl.dbkl.gov.my/wp-content/uploads/2025/06/1.-VOLUME-1-PART-1_DEVELOPMENT-CONTROL_.pdf</x:v>
      </x:c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26" t="str">
        <x:v>Perumahan Jalan Jujur &amp; Jalan Ikhlas</x:v>
      </x:c>
      <x:c r="B6" s="26" t="str">
        <x:v>Bandar Tun Razak; Jalan Makmur / Jalan Bangsawan / Jalan Jujur / Jalan Ikhlas</x:v>
      </x:c>
      <x:c r="C6" s="26" t="str">
        <x:v>R3</x:v>
      </x:c>
      <x:c r="D6" s="26" t="str">
        <x:v>1:3.5</x:v>
      </x:c>
      <x:c r="E6" s="26" t="str">
        <x:v>Comprehensive or cluster development</x:v>
      </x:c>
      <x:c r="F6" s="26" t="str">
        <x:v>Affordable land base + explicit intensity uplift</x:v>
      </x:c>
      <x:c r="G6" s="26" t="str">
        <x:v>https://ppkl.dbkl.gov.my/wp-content/uploads/2025/06/1.-VOLUME-1-PART-1_DEVELOPMENT-CONTROL_.pdf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26" t="str">
        <x:v>Apartmen Taman Taiping</x:v>
      </x:c>
      <x:c r="B7" s="26" t="str">
        <x:v>Jalan Tandok, Bangsar</x:v>
      </x:c>
      <x:c r="C7" s="26" t="str">
        <x:v>R3</x:v>
      </x:c>
      <x:c r="D7" s="26" t="str">
        <x:v>1:4.0</x:v>
      </x:c>
      <x:c r="E7" s="26" t="str">
        <x:v>Comprehensive whole-site or block-cluster redevelopment; direct access via Jalan Tandok</x:v>
      </x:c>
      <x:c r="F7" s="26" t="str">
        <x:v>Prime Bangsar land + highest stated base PR among the 8</x:v>
      </x:c>
      <x:c r="G7" s="26" t="str">
        <x:v>https://ppkl.dbkl.gov.my/wp-content/uploads/2025/06/1.-VOLUME-1-PART-1_DEVELOPMENT-CONTROL_.pdf</x:v>
      </x:c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26" t="str">
        <x:v>Jalan Jinjang Aman</x:v>
      </x:c>
      <x:c r="B8" s="26" t="str">
        <x:v>Jinjang Utara; Jalan Benteng Utara / Jalan Benteng Barat</x:v>
      </x:c>
      <x:c r="C8" s="26" t="str">
        <x:v>R2</x:v>
      </x:c>
      <x:c r="D8" s="26" t="str">
        <x:v>1:2.5</x:v>
      </x:c>
      <x:c r="E8" s="26" t="str">
        <x:v>Comprehensive/cluster; minimum 30,000 sq ft; 15m main access reserve</x:v>
      </x:c>
      <x:c r="F8" s="26" t="str">
        <x:v>Clear rulebook + potentially lower entry land values</x:v>
      </x:c>
      <x:c r="G8" s="26" t="str">
        <x:v>https://ppkl.dbkl.gov.my/wp-content/uploads/2025/06/1.-VOLUME-1-PART-1_DEVELOPMENT-CONTROL_.pdf</x:v>
      </x:c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26" t="str">
        <x:v>Jalan Jinjang Selatan</x:v>
      </x:c>
      <x:c r="B9" s="26" t="str">
        <x:v>Jalan Jambu Jemba / Jalan Jambu</x:v>
      </x:c>
      <x:c r="C9" s="26" t="str">
        <x:v>R2</x:v>
      </x:c>
      <x:c r="D9" s="26" t="str">
        <x:v>1:2.5</x:v>
      </x:c>
      <x:c r="E9" s="26" t="str">
        <x:v>Comprehensive/cluster; minimum 30,000 sq ft; 15m main access reserve</x:v>
      </x:c>
      <x:c r="F9" s="26" t="str">
        <x:v>Clear rulebook + large-scale assembly optionality</x:v>
      </x:c>
      <x:c r="G9" s="26" t="str">
        <x:v>https://ppkl.dbkl.gov.my/wp-content/uploads/2025/06/1.-VOLUME-1-PART-1_DEVELOPMENT-CONTROL_.pdf</x:v>
      </x:c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  <x:tableParts count="1">
    <x:tablePart xmlns:r="http://schemas.openxmlformats.org/officeDocument/2006/relationships" r:id="Rf175fa92018e4c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65" hidden="0" customWidth="1"/>
    <x:col min="7" max="7" width="55" hidden="0" customWidth="1"/>
  </x:cols>
  <x:sheetData>
    <x:row r="1">
      <x:c r="A1" s="21" t="str">
        <x:v>No.</x:v>
      </x:c>
      <x:c r="B1" s="21" t="str">
        <x:v>Site</x:v>
      </x:c>
      <x:c r="C1" s="21" t="str">
        <x:v>Category</x:v>
      </x:c>
      <x:c r="D1" s="21" t="str">
        <x:v>Mukim / Seksyen</x:v>
      </x:c>
      <x:c r="E1" s="21" t="str">
        <x:v>Parliament</x:v>
      </x:c>
      <x:c r="F1" s="21" t="str">
        <x:v>Official lot number(s)</x:v>
      </x:c>
      <x:c r="G1" s="21" t="str">
        <x:v>Source</x:v>
      </x:c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6" t="n">
        <x:v>1</x:v>
      </x:c>
      <x:c r="B2" s="26" t="str">
        <x:v>PA Setapak Jaya 1A</x:v>
      </x:c>
      <x:c r="C2" s="26" t="str">
        <x:v>Perumahan Awam</x:v>
      </x:c>
      <x:c r="D2" s="26" t="str">
        <x:v>Setapak</x:v>
      </x:c>
      <x:c r="E2" s="26" t="str">
        <x:v>Setiawangsa</x:v>
      </x:c>
      <x:c r="F2" s="26" t="str">
        <x:v>26426, 26427, 26429</x:v>
      </x:c>
      <x:c r="G2" s="26" t="str">
        <x:v>https://www.jwp.gov.my/storage/media/49-TAPAK-PEMBANGUNAN-SEMULA-KL.pdf</x:v>
      </x:c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26" t="n">
        <x:v>2</x:v>
      </x:c>
      <x:c r="B3" s="26" t="str">
        <x:v>PA Seri Perlis 1</x:v>
      </x:c>
      <x:c r="C3" s="26" t="str">
        <x:v>Perumahan Awam</x:v>
      </x:c>
      <x:c r="D3" s="26" t="str">
        <x:v>Seksyen 100</x:v>
      </x:c>
      <x:c r="E3" s="26" t="str">
        <x:v>Titiwangsa</x:v>
      </x:c>
      <x:c r="F3" s="26" t="str">
        <x:v>1305</x:v>
      </x:c>
      <x:c r="G3" s="26" t="str">
        <x:v>https://www.jwp.gov.my/storage/media/49-TAPAK-PEMBANGUNAN-SEMULA-KL.pdf</x:v>
      </x:c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26" t="n">
        <x:v>3</x:v>
      </x:c>
      <x:c r="B4" s="26" t="str">
        <x:v>PA Seri Perlis 2</x:v>
      </x:c>
      <x:c r="C4" s="26" t="str">
        <x:v>Perumahan Awam</x:v>
      </x:c>
      <x:c r="D4" s="26" t="str">
        <x:v>Seksyen 100</x:v>
      </x:c>
      <x:c r="E4" s="26" t="str">
        <x:v>Titiwangsa</x:v>
      </x:c>
      <x:c r="F4" s="26" t="str">
        <x:v>1443</x:v>
      </x:c>
      <x:c r="G4" s="26" t="str">
        <x:v>https://www.jwp.gov.my/storage/media/49-TAPAK-PEMBANGUNAN-SEMULA-KL.pdf</x:v>
      </x:c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26" t="n">
        <x:v>4</x:v>
      </x:c>
      <x:c r="B5" s="26" t="str">
        <x:v>PA Seri Negeri Sembilan</x:v>
      </x:c>
      <x:c r="C5" s="26" t="str">
        <x:v>Perumahan Awam</x:v>
      </x:c>
      <x:c r="D5" s="26" t="str">
        <x:v>Seksyen 85</x:v>
      </x:c>
      <x:c r="E5" s="26" t="str">
        <x:v>Batu</x:v>
      </x:c>
      <x:c r="F5" s="26" t="str">
        <x:v>20000</x:v>
      </x:c>
      <x:c r="G5" s="26" t="str">
        <x:v>https://www.jwp.gov.my/storage/media/49-TAPAK-PEMBANGUNAN-SEMULA-KL.pdf</x:v>
      </x:c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26" t="n">
        <x:v>5</x:v>
      </x:c>
      <x:c r="B6" s="26" t="str">
        <x:v>PA Seri Sarawak</x:v>
      </x:c>
      <x:c r="C6" s="26" t="str">
        <x:v>Perumahan Awam</x:v>
      </x:c>
      <x:c r="D6" s="26" t="str">
        <x:v>Seksyen 69</x:v>
      </x:c>
      <x:c r="E6" s="26" t="str">
        <x:v>Cheras</x:v>
      </x:c>
      <x:c r="F6" s="26" t="str">
        <x:v>796</x:v>
      </x:c>
      <x:c r="G6" s="26" t="str">
        <x:v>https://www.jwp.gov.my/storage/media/49-TAPAK-PEMBANGUNAN-SEMULA-KL.pdf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26" t="n">
        <x:v>6</x:v>
      </x:c>
      <x:c r="B7" s="26" t="str">
        <x:v>PA Seri Selangor</x:v>
      </x:c>
      <x:c r="C7" s="26" t="str">
        <x:v>Perumahan Awam</x:v>
      </x:c>
      <x:c r="D7" s="26" t="str">
        <x:v>Seksyen 69</x:v>
      </x:c>
      <x:c r="E7" s="26" t="str">
        <x:v>Cheras</x:v>
      </x:c>
      <x:c r="F7" s="26" t="str">
        <x:v>89</x:v>
      </x:c>
      <x:c r="G7" s="26" t="str">
        <x:v>https://www.jwp.gov.my/storage/media/49-TAPAK-PEMBANGUNAN-SEMULA-KL.pdf</x:v>
      </x:c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26" t="n">
        <x:v>7</x:v>
      </x:c>
      <x:c r="B8" s="26" t="str">
        <x:v>PA Loke Yew</x:v>
      </x:c>
      <x:c r="C8" s="26" t="str">
        <x:v>Perumahan Awam</x:v>
      </x:c>
      <x:c r="D8" s="26" t="str">
        <x:v>Seksyen 69</x:v>
      </x:c>
      <x:c r="E8" s="26" t="str">
        <x:v>Cheras</x:v>
      </x:c>
      <x:c r="F8" s="26" t="str">
        <x:v>797</x:v>
      </x:c>
      <x:c r="G8" s="26" t="str">
        <x:v>https://www.jwp.gov.my/storage/media/49-TAPAK-PEMBANGUNAN-SEMULA-KL.pdf</x:v>
      </x:c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26" t="n">
        <x:v>8</x:v>
      </x:c>
      <x:c r="B9" s="26" t="str">
        <x:v>PA Hang Tuah</x:v>
      </x:c>
      <x:c r="C9" s="26" t="str">
        <x:v>Perumahan Awam</x:v>
      </x:c>
      <x:c r="D9" s="26" t="str">
        <x:v>Seksyen 96</x:v>
      </x:c>
      <x:c r="E9" s="26" t="str">
        <x:v>Bukit Bintang</x:v>
      </x:c>
      <x:c r="F9" s="26" t="str">
        <x:v>748</x:v>
      </x:c>
      <x:c r="G9" s="26" t="str">
        <x:v>https://www.jwp.gov.my/storage/media/49-TAPAK-PEMBANGUNAN-SEMULA-KL.pdf</x:v>
      </x:c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26" t="n">
        <x:v>9</x:v>
      </x:c>
      <x:c r="B10" s="26" t="str">
        <x:v>PA Seri Pahang</x:v>
      </x:c>
      <x:c r="C10" s="26" t="str">
        <x:v>Perumahan Awam</x:v>
      </x:c>
      <x:c r="D10" s="26" t="str">
        <x:v>Seksyen 96</x:v>
      </x:c>
      <x:c r="E10" s="26" t="str">
        <x:v>Lembah Pantai</x:v>
      </x:c>
      <x:c r="F10" s="26" t="str">
        <x:v>365</x:v>
      </x:c>
      <x:c r="G10" s="26" t="str">
        <x:v>https://www.jwp.gov.my/storage/media/49-TAPAK-PEMBANGUNAN-SEMULA-KL.pdf</x:v>
      </x:c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26" t="n">
        <x:v>10</x:v>
      </x:c>
      <x:c r="B11" s="26" t="str">
        <x:v>PA Seri Kelantan</x:v>
      </x:c>
      <x:c r="C11" s="26" t="str">
        <x:v>Perumahan Awam</x:v>
      </x:c>
      <x:c r="D11" s="26" t="str">
        <x:v>Setapak</x:v>
      </x:c>
      <x:c r="E11" s="26" t="str">
        <x:v>Batu</x:v>
      </x:c>
      <x:c r="F11" s="26" t="str">
        <x:v>30192</x:v>
      </x:c>
      <x:c r="G11" s="26" t="str">
        <x:v>https://www.jwp.gov.my/storage/media/49-TAPAK-PEMBANGUNAN-SEMULA-KL.pdf</x:v>
      </x:c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26" t="n">
        <x:v>11</x:v>
      </x:c>
      <x:c r="B12" s="26" t="str">
        <x:v>PA Seri Terengganu</x:v>
      </x:c>
      <x:c r="C12" s="26" t="str">
        <x:v>Perumahan Awam</x:v>
      </x:c>
      <x:c r="D12" s="26" t="str">
        <x:v>Seksyen 79</x:v>
      </x:c>
      <x:c r="E12" s="26" t="str">
        <x:v>Batu</x:v>
      </x:c>
      <x:c r="F12" s="26" t="str">
        <x:v>PT 457, PT 458</x:v>
      </x:c>
      <x:c r="G12" s="26" t="str">
        <x:v>https://www.jwp.gov.my/storage/media/49-TAPAK-PEMBANGUNAN-SEMULA-KL.pdf</x:v>
      </x:c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26" t="n">
        <x:v>12</x:v>
      </x:c>
      <x:c r="B13" s="26" t="str">
        <x:v>PA Seri Perak</x:v>
      </x:c>
      <x:c r="C13" s="26" t="str">
        <x:v>Perumahan Awam</x:v>
      </x:c>
      <x:c r="D13" s="26" t="str">
        <x:v>Seksyen 85</x:v>
      </x:c>
      <x:c r="E13" s="26" t="str">
        <x:v>Batu</x:v>
      </x:c>
      <x:c r="F13" s="26" t="str">
        <x:v>20004</x:v>
      </x:c>
      <x:c r="G13" s="26" t="str">
        <x:v>https://www.jwp.gov.my/storage/media/49-TAPAK-PEMBANGUNAN-SEMULA-KL.pdf</x:v>
      </x:c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26" t="n">
        <x:v>13</x:v>
      </x:c>
      <x:c r="B14" s="26" t="str">
        <x:v>PA Seri Labuan</x:v>
      </x:c>
      <x:c r="C14" s="26" t="str">
        <x:v>Perumahan Awam</x:v>
      </x:c>
      <x:c r="D14" s="26" t="str">
        <x:v>Kuala Lumpur</x:v>
      </x:c>
      <x:c r="E14" s="26" t="str">
        <x:v>Bandar Tun Razak</x:v>
      </x:c>
      <x:c r="F14" s="26" t="str">
        <x:v>51948</x:v>
      </x:c>
      <x:c r="G14" s="26" t="str">
        <x:v>https://www.jwp.gov.my/storage/media/49-TAPAK-PEMBANGUNAN-SEMULA-KL.pdf</x:v>
      </x:c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26" t="n">
        <x:v>14</x:v>
      </x:c>
      <x:c r="B15" s="26" t="str">
        <x:v>PA Seri Tioman 1</x:v>
      </x:c>
      <x:c r="C15" s="26" t="str">
        <x:v>Perumahan Awam</x:v>
      </x:c>
      <x:c r="D15" s="26" t="str">
        <x:v>Setapak</x:v>
      </x:c>
      <x:c r="E15" s="26" t="str">
        <x:v>Wangsa Maju</x:v>
      </x:c>
      <x:c r="F15" s="26" t="str">
        <x:v>29075</x:v>
      </x:c>
      <x:c r="G15" s="26" t="str">
        <x:v>https://www.jwp.gov.my/storage/media/49-TAPAK-PEMBANGUNAN-SEMULA-KL.pdf</x:v>
      </x:c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26" t="n">
        <x:v>15</x:v>
      </x:c>
      <x:c r="B16" s="26" t="str">
        <x:v>PA Seri Kedah</x:v>
      </x:c>
      <x:c r="C16" s="26" t="str">
        <x:v>Perumahan Awam</x:v>
      </x:c>
      <x:c r="D16" s="26" t="str">
        <x:v>Setapak</x:v>
      </x:c>
      <x:c r="E16" s="26" t="str">
        <x:v>Wangsa Maju</x:v>
      </x:c>
      <x:c r="F16" s="26" t="str">
        <x:v>29064</x:v>
      </x:c>
      <x:c r="G16" s="26" t="str">
        <x:v>https://www.jwp.gov.my/storage/media/49-TAPAK-PEMBANGUNAN-SEMULA-KL.pdf</x:v>
      </x:c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26" t="n">
        <x:v>16</x:v>
      </x:c>
      <x:c r="B17" s="26" t="str">
        <x:v>Flat Taman Segar</x:v>
      </x:c>
      <x:c r="C17" s="26" t="str">
        <x:v>Perumahan Swasta</x:v>
      </x:c>
      <x:c r="D17" s="26" t="str">
        <x:v>Kuala Lumpur</x:v>
      </x:c>
      <x:c r="E17" s="26" t="str">
        <x:v>Cheras</x:v>
      </x:c>
      <x:c r="F17" s="26" t="str">
        <x:v>39723, 39724, 39725, 39747, 39726, 39727</x:v>
      </x:c>
      <x:c r="G17" s="26" t="str">
        <x:v>https://www.jwp.gov.my/storage/media/49-TAPAK-PEMBANGUNAN-SEMULA-KL.pdf</x:v>
      </x:c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26" t="n">
        <x:v>17</x:v>
      </x:c>
      <x:c r="B18" s="26" t="str">
        <x:v>Flat Taman Rajawali</x:v>
      </x:c>
      <x:c r="C18" s="26" t="str">
        <x:v>Perumahan Swasta</x:v>
      </x:c>
      <x:c r="D18" s="26" t="str">
        <x:v>Kuala Lumpur</x:v>
      </x:c>
      <x:c r="E18" s="26" t="str">
        <x:v>Cheras</x:v>
      </x:c>
      <x:c r="F18" s="26" t="str">
        <x:v>43288</x:v>
      </x:c>
      <x:c r="G18" s="26" t="str">
        <x:v>https://www.jwp.gov.my/storage/media/49-TAPAK-PEMBANGUNAN-SEMULA-KL.pdf</x:v>
      </x:c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26" t="n">
        <x:v>18</x:v>
      </x:c>
      <x:c r="B19" s="26" t="str">
        <x:v>Flat Taman Desa Aman</x:v>
      </x:c>
      <x:c r="C19" s="26" t="str">
        <x:v>Perumahan Swasta</x:v>
      </x:c>
      <x:c r="D19" s="26" t="str">
        <x:v>Kuala Lumpur</x:v>
      </x:c>
      <x:c r="E19" s="26" t="str">
        <x:v>Cheras</x:v>
      </x:c>
      <x:c r="F19" s="26" t="str">
        <x:v>41664</x:v>
      </x:c>
      <x:c r="G19" s="26" t="str">
        <x:v>https://www.jwp.gov.my/storage/media/49-TAPAK-PEMBANGUNAN-SEMULA-KL.pdf</x:v>
      </x:c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26" t="n">
        <x:v>19</x:v>
      </x:c>
      <x:c r="B20" s="26" t="str">
        <x:v>Flat Taman Sri Bahtera</x:v>
      </x:c>
      <x:c r="C20" s="26" t="str">
        <x:v>Perumahan Swasta</x:v>
      </x:c>
      <x:c r="D20" s="26" t="str">
        <x:v>Kuala Lumpur</x:v>
      </x:c>
      <x:c r="E20" s="26" t="str">
        <x:v>Cheras</x:v>
      </x:c>
      <x:c r="F20" s="26" t="str">
        <x:v>50530</x:v>
      </x:c>
      <x:c r="G20" s="26" t="str">
        <x:v>https://www.jwp.gov.my/storage/media/49-TAPAK-PEMBANGUNAN-SEMULA-KL.pdf</x:v>
      </x:c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26" t="n">
        <x:v>20</x:v>
      </x:c>
      <x:c r="B21" s="26" t="str">
        <x:v>Flat Taman Pertama</x:v>
      </x:c>
      <x:c r="C21" s="26" t="str">
        <x:v>Perumahan Swasta</x:v>
      </x:c>
      <x:c r="D21" s="26" t="str">
        <x:v>Kuala Lumpur</x:v>
      </x:c>
      <x:c r="E21" s="26" t="str">
        <x:v>Cheras</x:v>
      </x:c>
      <x:c r="F21" s="26" t="str">
        <x:v>40010, 40011, 40012, 40013</x:v>
      </x:c>
      <x:c r="G21" s="26" t="str">
        <x:v>https://www.jwp.gov.my/storage/media/49-TAPAK-PEMBANGUNAN-SEMULA-KL.pdf</x:v>
      </x:c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26" t="n">
        <x:v>21</x:v>
      </x:c>
      <x:c r="B22" s="26" t="str">
        <x:v>Flat Taman Kobena</x:v>
      </x:c>
      <x:c r="C22" s="26" t="str">
        <x:v>Perumahan Swasta</x:v>
      </x:c>
      <x:c r="D22" s="26" t="str">
        <x:v>Kuala Lumpur</x:v>
      </x:c>
      <x:c r="E22" s="26" t="str">
        <x:v>Cheras</x:v>
      </x:c>
      <x:c r="F22" s="26" t="str">
        <x:v>91, 49998, 50003, 50004</x:v>
      </x:c>
      <x:c r="G22" s="26" t="str">
        <x:v>https://www.jwp.gov.my/storage/media/49-TAPAK-PEMBANGUNAN-SEMULA-KL.pdf</x:v>
      </x:c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26" t="n">
        <x:v>22</x:v>
      </x:c>
      <x:c r="B23" s="26" t="str">
        <x:v>Flat Taman Shamelin Perkasa</x:v>
      </x:c>
      <x:c r="C23" s="26" t="str">
        <x:v>Perumahan Swasta</x:v>
      </x:c>
      <x:c r="D23" s="26" t="str">
        <x:v>Kuala Lumpur</x:v>
      </x:c>
      <x:c r="E23" s="26" t="str">
        <x:v>Cheras</x:v>
      </x:c>
      <x:c r="F23" s="26" t="str">
        <x:v>54591</x:v>
      </x:c>
      <x:c r="G23" s="26" t="str">
        <x:v>https://www.jwp.gov.my/storage/media/49-TAPAK-PEMBANGUNAN-SEMULA-KL.pdf</x:v>
      </x:c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26" t="n">
        <x:v>23</x:v>
      </x:c>
      <x:c r="B24" s="26" t="str">
        <x:v>Flat Taman Maluri</x:v>
      </x:c>
      <x:c r="C24" s="26" t="str">
        <x:v>Perumahan Swasta</x:v>
      </x:c>
      <x:c r="D24" s="26" t="str">
        <x:v>Ampang</x:v>
      </x:c>
      <x:c r="E24" s="26" t="str">
        <x:v>Titiwangsa</x:v>
      </x:c>
      <x:c r="F24" s="26" t="str">
        <x:v>6946, 6949</x:v>
      </x:c>
      <x:c r="G24" s="26" t="str">
        <x:v>https://www.jwp.gov.my/storage/media/49-TAPAK-PEMBANGUNAN-SEMULA-KL.pdf</x:v>
      </x:c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26" t="n">
        <x:v>24</x:v>
      </x:c>
      <x:c r="B25" s="26" t="str">
        <x:v>Flat Taman Sri Lempah</x:v>
      </x:c>
      <x:c r="C25" s="26" t="str">
        <x:v>Perumahan Swasta</x:v>
      </x:c>
      <x:c r="D25" s="26" t="str">
        <x:v>Kuala Lumpur</x:v>
      </x:c>
      <x:c r="E25" s="26" t="str">
        <x:v>Seputeh</x:v>
      </x:c>
      <x:c r="F25" s="26" t="str">
        <x:v>43709, 43711, 43712, 43713, 51967</x:v>
      </x:c>
      <x:c r="G25" s="26" t="str">
        <x:v>https://www.jwp.gov.my/storage/media/49-TAPAK-PEMBANGUNAN-SEMULA-KL.pdf</x:v>
      </x:c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26" t="n">
        <x:v>25</x:v>
      </x:c>
      <x:c r="B26" s="26" t="str">
        <x:v>Flat Sri Langkawi 2</x:v>
      </x:c>
      <x:c r="C26" s="26" t="str">
        <x:v>Perumahan Swasta</x:v>
      </x:c>
      <x:c r="D26" s="26" t="str">
        <x:v>Setapak</x:v>
      </x:c>
      <x:c r="E26" s="26" t="str">
        <x:v>Wangsa Maju</x:v>
      </x:c>
      <x:c r="F26" s="26" t="str">
        <x:v>26916, 29065, 29066, 29069, 29071, 29072, 29073, 28323</x:v>
      </x:c>
      <x:c r="G26" s="26" t="str">
        <x:v>https://www.jwp.gov.my/storage/media/49-TAPAK-PEMBANGUNAN-SEMULA-KL.pdf</x:v>
      </x:c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26" t="n">
        <x:v>26</x:v>
      </x:c>
      <x:c r="B27" s="26" t="str">
        <x:v>Flat Taman Melati</x:v>
      </x:c>
      <x:c r="C27" s="26" t="str">
        <x:v>Perumahan Swasta</x:v>
      </x:c>
      <x:c r="D27" s="26" t="str">
        <x:v>Setapak</x:v>
      </x:c>
      <x:c r="E27" s="26" t="str">
        <x:v>Wangsa Maju</x:v>
      </x:c>
      <x:c r="F27" s="26" t="str">
        <x:v>25092, 25093, 25117, 25118</x:v>
      </x:c>
      <x:c r="G27" s="26" t="str">
        <x:v>https://www.jwp.gov.my/storage/media/49-TAPAK-PEMBANGUNAN-SEMULA-KL.pdf</x:v>
      </x:c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26" t="n">
        <x:v>27</x:v>
      </x:c>
      <x:c r="B28" s="26" t="str">
        <x:v>Flat Bandar Baru Sentul Fasa 3</x:v>
      </x:c>
      <x:c r="C28" s="26" t="str">
        <x:v>Perumahan Swasta</x:v>
      </x:c>
      <x:c r="D28" s="26" t="str">
        <x:v>Seksyen 85A</x:v>
      </x:c>
      <x:c r="E28" s="26" t="str">
        <x:v>Batu</x:v>
      </x:c>
      <x:c r="F28" s="26" t="str">
        <x:v>136, 138, 139, 140, 142, 143, 144, 145, 146, 147, 149, 150, 151, 152, 153, 156, 157, 158</x:v>
      </x:c>
      <x:c r="G28" s="26" t="str">
        <x:v>https://www.jwp.gov.my/storage/media/49-TAPAK-PEMBANGUNAN-SEMULA-KL.pdf</x:v>
      </x:c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26" t="n">
        <x:v>28</x:v>
      </x:c>
      <x:c r="B29" s="26" t="str">
        <x:v>Flat Sungai Bharu</x:v>
      </x:c>
      <x:c r="C29" s="26" t="str">
        <x:v>Perumahan Swasta</x:v>
      </x:c>
      <x:c r="D29" s="26" t="str">
        <x:v>Seksyen 41</x:v>
      </x:c>
      <x:c r="E29" s="26" t="str">
        <x:v>Titiwangsa</x:v>
      </x:c>
      <x:c r="F29" s="26" t="str">
        <x:v>2087-2201 (selected lots) plus 2390-2393; see official source for full list</x:v>
      </x:c>
      <x:c r="G29" s="26" t="str">
        <x:v>https://www.jwp.gov.my/storage/media/49-TAPAK-PEMBANGUNAN-SEMULA-KL.pdf</x:v>
      </x:c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26" t="n">
        <x:v>29</x:v>
      </x:c>
      <x:c r="B30" s="26" t="str">
        <x:v>Flat PKNS Jalan Tun Razak</x:v>
      </x:c>
      <x:c r="C30" s="26" t="str">
        <x:v>Perumahan Swasta</x:v>
      </x:c>
      <x:c r="D30" s="26" t="str">
        <x:v>Seksyen 41</x:v>
      </x:c>
      <x:c r="E30" s="26" t="str">
        <x:v>Titiwangsa</x:v>
      </x:c>
      <x:c r="F30" s="26" t="str">
        <x:v>3351, 3352, 3353, 3354, 3355, 3356, 3357</x:v>
      </x:c>
      <x:c r="G30" s="26" t="str">
        <x:v>https://www.jwp.gov.my/storage/media/49-TAPAK-PEMBANGUNAN-SEMULA-KL.pdf</x:v>
      </x:c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26" t="n">
        <x:v>30</x:v>
      </x:c>
      <x:c r="B31" s="26" t="str">
        <x:v>Flat PKNS Jalan Kuching</x:v>
      </x:c>
      <x:c r="C31" s="26" t="str">
        <x:v>Perumahan Swasta</x:v>
      </x:c>
      <x:c r="D31" s="26" t="str">
        <x:v>Batu</x:v>
      </x:c>
      <x:c r="E31" s="26" t="str">
        <x:v>Batu</x:v>
      </x:c>
      <x:c r="F31" s="26" t="str">
        <x:v>63178, 63179, 63181, 63182, 63184, 63185, 63186, 63187, 63188, 63189</x:v>
      </x:c>
      <x:c r="G31" s="26" t="str">
        <x:v>https://www.jwp.gov.my/storage/media/49-TAPAK-PEMBANGUNAN-SEMULA-KL.pdf</x:v>
      </x:c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26" t="n">
        <x:v>31</x:v>
      </x:c>
      <x:c r="B32" s="26" t="str">
        <x:v>Flat Taman Desa Bakti</x:v>
      </x:c>
      <x:c r="C32" s="26" t="str">
        <x:v>Perumahan Swasta</x:v>
      </x:c>
      <x:c r="D32" s="26" t="str">
        <x:v>Batu</x:v>
      </x:c>
      <x:c r="E32" s="26" t="str">
        <x:v>Batu</x:v>
      </x:c>
      <x:c r="F32" s="26" t="str">
        <x:v>45968</x:v>
      </x:c>
      <x:c r="G32" s="26" t="str">
        <x:v>https://www.jwp.gov.my/storage/media/49-TAPAK-PEMBANGUNAN-SEMULA-KL.pdf</x:v>
      </x:c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26" t="n">
        <x:v>32</x:v>
      </x:c>
      <x:c r="B33" s="26" t="str">
        <x:v>Flat Taman Wilayah Selayang</x:v>
      </x:c>
      <x:c r="C33" s="26" t="str">
        <x:v>Perumahan Swasta</x:v>
      </x:c>
      <x:c r="D33" s="26" t="str">
        <x:v>Batu</x:v>
      </x:c>
      <x:c r="E33" s="26" t="str">
        <x:v>Batu</x:v>
      </x:c>
      <x:c r="F33" s="26" t="str">
        <x:v>55728</x:v>
      </x:c>
      <x:c r="G33" s="26" t="str">
        <x:v>https://www.jwp.gov.my/storage/media/49-TAPAK-PEMBANGUNAN-SEMULA-KL.pdf</x:v>
      </x:c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26" t="n">
        <x:v>33</x:v>
      </x:c>
      <x:c r="B34" s="26" t="str">
        <x:v>Flat Taman Bukit Angkasa</x:v>
      </x:c>
      <x:c r="C34" s="26" t="str">
        <x:v>Perumahan Swasta</x:v>
      </x:c>
      <x:c r="D34" s="26" t="str">
        <x:v>Kuala Lumpur</x:v>
      </x:c>
      <x:c r="E34" s="26" t="str">
        <x:v>Lembah Pantai</x:v>
      </x:c>
      <x:c r="F34" s="26" t="str">
        <x:v>474828, 474829, 747831, 52003, 53664, 58138</x:v>
      </x:c>
      <x:c r="G34" s="26" t="str">
        <x:v>https://www.jwp.gov.my/storage/media/49-TAPAK-PEMBANGUNAN-SEMULA-KL.pdf</x:v>
      </x:c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26" t="n">
        <x:v>34</x:v>
      </x:c>
      <x:c r="B35" s="26" t="str">
        <x:v>Flat Taman Mulia</x:v>
      </x:c>
      <x:c r="C35" s="26" t="str">
        <x:v>Perumahan Swasta</x:v>
      </x:c>
      <x:c r="D35" s="26" t="str">
        <x:v>Kuala Lumpur</x:v>
      </x:c>
      <x:c r="E35" s="26" t="str">
        <x:v>Bandar Tun Razak</x:v>
      </x:c>
      <x:c r="F35" s="26" t="str">
        <x:v>51811, 42730</x:v>
      </x:c>
      <x:c r="G35" s="26" t="str">
        <x:v>https://www.jwp.gov.my/storage/media/49-TAPAK-PEMBANGUNAN-SEMULA-KL.pdf</x:v>
      </x:c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26" t="n">
        <x:v>35</x:v>
      </x:c>
      <x:c r="B36" s="26" t="str">
        <x:v>Flat Taman Salak Selatan</x:v>
      </x:c>
      <x:c r="C36" s="26" t="str">
        <x:v>Perumahan Swasta</x:v>
      </x:c>
      <x:c r="D36" s="26" t="str">
        <x:v>Petaling</x:v>
      </x:c>
      <x:c r="E36" s="26" t="str">
        <x:v>Seputeh</x:v>
      </x:c>
      <x:c r="F36" s="26" t="str">
        <x:v>32305, 32306, 32308, 32309, 32311, 32310, 32313, 32314, 32316</x:v>
      </x:c>
      <x:c r="G36" s="26" t="str">
        <x:v>https://www.jwp.gov.my/storage/media/49-TAPAK-PEMBANGUNAN-SEMULA-KL.pdf</x:v>
      </x:c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26" t="n">
        <x:v>36</x:v>
      </x:c>
      <x:c r="B37" s="26" t="str">
        <x:v>Flat Taman Sri Endah</x:v>
      </x:c>
      <x:c r="C37" s="26" t="str">
        <x:v>Perumahan Swasta</x:v>
      </x:c>
      <x:c r="D37" s="26" t="str">
        <x:v>Petaling</x:v>
      </x:c>
      <x:c r="E37" s="26" t="str">
        <x:v>Seputeh</x:v>
      </x:c>
      <x:c r="F37" s="26" t="str">
        <x:v>36830</x:v>
      </x:c>
      <x:c r="G37" s="26" t="str">
        <x:v>https://www.jwp.gov.my/storage/media/49-TAPAK-PEMBANGUNAN-SEMULA-KL.pdf</x:v>
      </x:c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26" t="n">
        <x:v>37</x:v>
      </x:c>
      <x:c r="B38" s="26" t="str">
        <x:v>Flat Wangsa Maju Seksyen 10</x:v>
      </x:c>
      <x:c r="C38" s="26" t="str">
        <x:v>Perumahan Swasta</x:v>
      </x:c>
      <x:c r="D38" s="26" t="str">
        <x:v>Setapak</x:v>
      </x:c>
      <x:c r="E38" s="26" t="str">
        <x:v>Wangsa Maju</x:v>
      </x:c>
      <x:c r="F38" s="26" t="str">
        <x:v>23457, 23459, 30096, 30093, 23484, 30092</x:v>
      </x:c>
      <x:c r="G38" s="26" t="str">
        <x:v>https://www.jwp.gov.my/storage/media/49-TAPAK-PEMBANGUNAN-SEMULA-KL.pdf</x:v>
      </x:c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26" t="n">
        <x:v>38</x:v>
      </x:c>
      <x:c r="B39" s="26" t="str">
        <x:v>Flat Kuchai Entrepreneurs Park</x:v>
      </x:c>
      <x:c r="C39" s="26" t="str">
        <x:v>Perumahan Swasta</x:v>
      </x:c>
      <x:c r="D39" s="26" t="str">
        <x:v>Petaling</x:v>
      </x:c>
      <x:c r="E39" s="26" t="str">
        <x:v>Seputeh</x:v>
      </x:c>
      <x:c r="F39" s="26" t="str">
        <x:v>32082, 32087</x:v>
      </x:c>
      <x:c r="G39" s="26" t="str">
        <x:v>https://www.jwp.gov.my/storage/media/49-TAPAK-PEMBANGUNAN-SEMULA-KL.pdf</x:v>
      </x:c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26" t="n">
        <x:v>39</x:v>
      </x:c>
      <x:c r="B40" s="26" t="str">
        <x:v>Flat Taman Hock Ann</x:v>
      </x:c>
      <x:c r="C40" s="26" t="str">
        <x:v>Perumahan Swasta</x:v>
      </x:c>
      <x:c r="D40" s="26" t="str">
        <x:v>Kuala Lumpur</x:v>
      </x:c>
      <x:c r="E40" s="26" t="str">
        <x:v>Seputeh</x:v>
      </x:c>
      <x:c r="F40" s="26" t="str">
        <x:v>480876</x:v>
      </x:c>
      <x:c r="G40" s="26" t="str">
        <x:v>https://www.jwp.gov.my/storage/media/49-TAPAK-PEMBANGUNAN-SEMULA-KL.pdf</x:v>
      </x:c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26" t="n">
        <x:v>40</x:v>
      </x:c>
      <x:c r="B41" s="26" t="str">
        <x:v>Flat Kuchai Jaya</x:v>
      </x:c>
      <x:c r="C41" s="26" t="str">
        <x:v>Perumahan Swasta</x:v>
      </x:c>
      <x:c r="D41" s="26" t="str">
        <x:v>Petaling</x:v>
      </x:c>
      <x:c r="E41" s="26" t="str">
        <x:v>Seputeh</x:v>
      </x:c>
      <x:c r="F41" s="26" t="str">
        <x:v>33598</x:v>
      </x:c>
      <x:c r="G41" s="26" t="str">
        <x:v>https://www.jwp.gov.my/storage/media/49-TAPAK-PEMBANGUNAN-SEMULA-KL.pdf</x:v>
      </x:c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26" t="n">
        <x:v>41</x:v>
      </x:c>
      <x:c r="B42" s="26" t="str">
        <x:v>Flat Jalan Walter Granier</x:v>
      </x:c>
      <x:c r="C42" s="26" t="str">
        <x:v>Perumahan Swasta</x:v>
      </x:c>
      <x:c r="D42" s="26" t="str">
        <x:v>Seksyen 67</x:v>
      </x:c>
      <x:c r="E42" s="26" t="str">
        <x:v>Bukit Bintang</x:v>
      </x:c>
      <x:c r="F42" s="26" t="str">
        <x:v>884-889, 977-984, 1000-1009, 1169-1170, 765-772, 891-896, 986-987, 989, 1010-1019, 1241, 1288, 20032, 1171-1172 (58 lots)</x:v>
      </x:c>
      <x:c r="G42" s="26" t="str">
        <x:v>https://www.jwp.gov.my/storage/media/49-TAPAK-PEMBANGUNAN-SEMULA-KL.pdf</x:v>
      </x:c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26" t="n">
        <x:v>42</x:v>
      </x:c>
      <x:c r="B43" s="26" t="str">
        <x:v>Flat Jalan Gajus</x:v>
      </x:c>
      <x:c r="C43" s="26" t="str">
        <x:v>Perumahan Swasta</x:v>
      </x:c>
      <x:c r="D43" s="26" t="str">
        <x:v>Seksyen 69</x:v>
      </x:c>
      <x:c r="E43" s="26" t="str">
        <x:v>Cheras</x:v>
      </x:c>
      <x:c r="F43" s="26" t="str">
        <x:v>806-828, 1110, 841-846, 983-988, 1133-1134, 850-854, 971, 1136-1137, 858-860, 832-835 (52 lots)</x:v>
      </x:c>
      <x:c r="G43" s="26" t="str">
        <x:v>https://www.jwp.gov.my/storage/media/49-TAPAK-PEMBANGUNAN-SEMULA-KL.pdf</x:v>
      </x:c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26" t="n">
        <x:v>43</x:v>
      </x:c>
      <x:c r="B44" s="26" t="str">
        <x:v>Flat Jalan Barat (bersebelahan TRX)</x:v>
      </x:c>
      <x:c r="C44" s="26" t="str">
        <x:v>Perumahan Swasta</x:v>
      </x:c>
      <x:c r="D44" s="26" t="str">
        <x:v>Seksyen 67</x:v>
      </x:c>
      <x:c r="E44" s="26" t="str">
        <x:v>Cheras</x:v>
      </x:c>
      <x:c r="F44" s="26" t="str">
        <x:v>Multiple clusters across Jalan Barat / Jalan Melati / Jalan Khoo Teik Ee / Jalan Horley / Jalan Imbi / Medan Imbi; see official source for full list</x:v>
      </x:c>
      <x:c r="G44" s="26" t="str">
        <x:v>https://www.jwp.gov.my/storage/media/49-TAPAK-PEMBANGUNAN-SEMULA-KL.pdf</x:v>
      </x:c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26" t="n">
        <x:v>44</x:v>
      </x:c>
      <x:c r="B45" s="26" t="str">
        <x:v>Flat Jalan Gandek, Jalan Kalung &amp; Jalan Gelang</x:v>
      </x:c>
      <x:c r="C45" s="26" t="str">
        <x:v>Perumahan Swasta</x:v>
      </x:c>
      <x:c r="D45" s="26" t="str">
        <x:v>Seksyen 69</x:v>
      </x:c>
      <x:c r="E45" s="26" t="str">
        <x:v>Cheras</x:v>
      </x:c>
      <x:c r="F45" s="26" t="str">
        <x:v>Multiple lots on Jalan Gandek, Jalan Kalung and Jalan Gelang; see official source for full list</x:v>
      </x:c>
      <x:c r="G45" s="26" t="str">
        <x:v>https://www.jwp.gov.my/storage/media/49-TAPAK-PEMBANGUNAN-SEMULA-KL.pdf</x:v>
      </x:c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26" t="n">
        <x:v>45</x:v>
      </x:c>
      <x:c r="B46" s="26" t="str">
        <x:v>Flat Jalan Tiong Nam</x:v>
      </x:c>
      <x:c r="C46" s="26" t="str">
        <x:v>Perumahan Swasta</x:v>
      </x:c>
      <x:c r="D46" s="26" t="str">
        <x:v>Seksyen 46</x:v>
      </x:c>
      <x:c r="E46" s="26" t="str">
        <x:v>Bukit Bintang</x:v>
      </x:c>
      <x:c r="F46" s="26" t="str">
        <x:v>791, 794-797, 1754-1763 (15 lots)</x:v>
      </x:c>
      <x:c r="G46" s="26" t="str">
        <x:v>https://www.jwp.gov.my/storage/media/49-TAPAK-PEMBANGUNAN-SEMULA-KL.pdf</x:v>
      </x:c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26" t="n">
        <x:v>46</x:v>
      </x:c>
      <x:c r="B47" s="26" t="str">
        <x:v>Flat Jalan Sarawak</x:v>
      </x:c>
      <x:c r="C47" s="26" t="str">
        <x:v>Perumahan Swasta</x:v>
      </x:c>
      <x:c r="D47" s="26" t="str">
        <x:v>Seksyen 56</x:v>
      </x:c>
      <x:c r="E47" s="26" t="str">
        <x:v>Bukit Bintang</x:v>
      </x:c>
      <x:c r="F47" s="26" t="str">
        <x:v>412-445, 447 (35 lots)</x:v>
      </x:c>
      <x:c r="G47" s="26" t="str">
        <x:v>https://www.jwp.gov.my/storage/media/49-TAPAK-PEMBANGUNAN-SEMULA-KL.pdf</x:v>
      </x:c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26" t="n">
        <x:v>47</x:v>
      </x:c>
      <x:c r="B48" s="26" t="str">
        <x:v>Flat Badak</x:v>
      </x:c>
      <x:c r="C48" s="26" t="str">
        <x:v>Perumahan Swasta</x:v>
      </x:c>
      <x:c r="D48" s="26" t="str">
        <x:v>Seksyen 61</x:v>
      </x:c>
      <x:c r="E48" s="26" t="str">
        <x:v>Cheras</x:v>
      </x:c>
      <x:c r="F48" s="26" t="str">
        <x:v>343</x:v>
      </x:c>
      <x:c r="G48" s="26" t="str">
        <x:v>https://www.jwp.gov.my/storage/media/49-TAPAK-PEMBANGUNAN-SEMULA-KL.pdf</x:v>
      </x:c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26" t="n">
        <x:v>48</x:v>
      </x:c>
      <x:c r="B49" s="26" t="str">
        <x:v>Flat Taman Melati Kawasan 8 (Taman Desa Melawati)</x:v>
      </x:c>
      <x:c r="C49" s="26" t="str">
        <x:v>Perumahan Swasta</x:v>
      </x:c>
      <x:c r="D49" s="26" t="str">
        <x:v>Setapak</x:v>
      </x:c>
      <x:c r="E49" s="26" t="str">
        <x:v>Wangsa Maju</x:v>
      </x:c>
      <x:c r="F49" s="26" t="str">
        <x:v>25075</x:v>
      </x:c>
      <x:c r="G49" s="26" t="str">
        <x:v>https://www.jwp.gov.my/storage/media/49-TAPAK-PEMBANGUNAN-SEMULA-KL.pdf</x:v>
      </x:c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26" t="n">
        <x:v>49</x:v>
      </x:c>
      <x:c r="B50" s="26" t="str">
        <x:v>Iris Apartment</x:v>
      </x:c>
      <x:c r="C50" s="26" t="str">
        <x:v>Perumahan Swasta</x:v>
      </x:c>
      <x:c r="D50" s="26" t="str">
        <x:v>Kuala Lumpur</x:v>
      </x:c>
      <x:c r="E50" s="26" t="str">
        <x:v>Seputeh</x:v>
      </x:c>
      <x:c r="F50" s="26" t="str">
        <x:v>51744</x:v>
      </x:c>
      <x:c r="G50" s="26" t="str">
        <x:v>https://www.jwp.gov.my/storage/media/49-TAPAK-PEMBANGUNAN-SEMULA-KL.pdf</x:v>
      </x:c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  <x:tableParts count="1">
    <x:tablePart xmlns:r="http://schemas.openxmlformats.org/officeDocument/2006/relationships" r:id="Rb57503bbb0534c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52" hidden="0" customWidth="1"/>
    <x:col min="11" max="11" width="52" hidden="0" customWidth="1"/>
    <x:col min="12" max="12" width="55" hidden="0" customWidth="1"/>
  </x:cols>
  <x:sheetData>
    <x:row r="1">
      <x:c r="A1" s="21" t="str">
        <x:v>Rank</x:v>
      </x:c>
      <x:c r="B1" s="21" t="str">
        <x:v>Site</x:v>
      </x:c>
      <x:c r="C1" s="21" t="str">
        <x:v>Official anchor</x:v>
      </x:c>
      <x:c r="D1" s="21" t="str">
        <x:v>Structural upside</x:v>
      </x:c>
      <x:c r="E1" s="21" t="str">
        <x:v>Planning clarity</x:v>
      </x:c>
      <x:c r="F1" s="21" t="str">
        <x:v>Dealability</x:v>
      </x:c>
      <x:c r="G1" s="21" t="str">
        <x:v>Low competition / info edge</x:v>
      </x:c>
      <x:c r="H1" s="21" t="str">
        <x:v>Weighted score</x:v>
      </x:c>
      <x:c r="I1" s="21" t="str">
        <x:v>Stage</x:v>
      </x:c>
      <x:c r="J1" s="21" t="str">
        <x:v>Core thesis</x:v>
      </x:c>
      <x:c r="K1" s="21" t="str">
        <x:v>Main risk</x:v>
      </x:c>
      <x:c r="L1" s="21" t="str">
        <x:v>Primary source</x:v>
      </x:c>
      <x:c r="M1" s="4"/>
      <x:c r="N1" s="37" t="str">
        <x:v>Important note</x:v>
      </x:c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6" t="n">
        <x:f>RANK.EQ(H2,$H$2:$H$21,0)</x:f>
        <x:v>1</x:v>
      </x:c>
      <x:c r="B2" s="26" t="str">
        <x:v>Apartmen Taman Taiping, Jalan Tandok</x:v>
      </x:c>
      <x:c r="C2" s="26" t="str">
        <x:v>PTKL Specific Site 6; R3, PR 1:4</x:v>
      </x:c>
      <x:c r="D2" s="34" t="n">
        <x:v>9.5</x:v>
      </x:c>
      <x:c r="E2" s="34" t="n">
        <x:v>10</x:v>
      </x:c>
      <x:c r="F2" s="34" t="n">
        <x:v>7</x:v>
      </x:c>
      <x:c r="G2" s="34" t="n">
        <x:v>6</x:v>
      </x:c>
      <x:c r="H2" s="34" t="n">
        <x:f>D2*Method!$B$4+E2*Method!$B$5+F2*Method!$B$6+G2*Method!$B$7</x:f>
        <x:v>8.475</x:v>
      </x:c>
      <x:c r="I2" s="26" t="str">
        <x:v>Research now</x:v>
      </x:c>
      <x:c r="J2" s="26" t="str">
        <x:v>Prime Bangsar land + explicit high-density redevelopment rules; unusually clean planning thesis</x:v>
      </x:c>
      <x:c r="K2" s="26" t="str">
        <x:v>Owner assembly / already obvious to serious developers</x:v>
      </x:c>
      <x:c r="L2" s="26" t="str">
        <x:v>https://ppkl.dbkl.gov.my/wp-content/uploads/2025/06/1.-VOLUME-1-PART-1_DEVELOPMENT-CONTROL_.pdf</x:v>
      </x:c>
      <x:c r="M2" s="4"/>
      <x:c r="N2" s="26" t="str">
        <x:v>This Top 20 is a screening model, not a valuation. Next step is lot-polygon GIS + PTKL intensity + ownership + surrounding ASP/transacted values. Do not interpret a high score as 'buy units now'.</x:v>
      </x:c>
      <x:c r="O2" s="26"/>
      <x:c r="P2" s="26"/>
      <x:c r="Q2" s="26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26" t="n">
        <x:f>RANK.EQ(H3,$H$2:$H$21,0)</x:f>
        <x:v>2</x:v>
      </x:c>
      <x:c r="B3" s="26" t="str">
        <x:v>Perumahan Jalan Jujur &amp; Jalan Ikhlas</x:v>
      </x:c>
      <x:c r="C3" s="26" t="str">
        <x:v>PTKL Specific Site 5; R3, PR 1:3.5</x:v>
      </x:c>
      <x:c r="D3" s="34" t="n">
        <x:v>8.2</x:v>
      </x:c>
      <x:c r="E3" s="34" t="n">
        <x:v>10</x:v>
      </x:c>
      <x:c r="F3" s="34" t="n">
        <x:v>7</x:v>
      </x:c>
      <x:c r="G3" s="34" t="n">
        <x:v>7.5</x:v>
      </x:c>
      <x:c r="H3" s="34" t="n">
        <x:f>D3*Method!$B$4+E3*Method!$B$5+F3*Method!$B$6+G3*Method!$B$7</x:f>
        <x:v>8.245</x:v>
      </x:c>
      <x:c r="I3" s="26" t="str">
        <x:v>Research now</x:v>
      </x:c>
      <x:c r="J3" s="26" t="str">
        <x:v>Lower land basis with explicit density uplift can create larger percentage residual-value gap</x:v>
      </x:c>
      <x:c r="K3" s="26" t="str">
        <x:v>End-value ceiling lower than prime central KL</x:v>
      </x:c>
      <x:c r="L3" s="26" t="str">
        <x:v>https://ppkl.dbkl.gov.my/wp-content/uploads/2025/06/1.-VOLUME-1-PART-1_DEVELOPMENT-CONTROL_.pdf</x:v>
      </x:c>
      <x:c r="M3" s="4"/>
      <x:c r="N3" s="26"/>
      <x:c r="O3" s="26"/>
      <x:c r="P3" s="26"/>
      <x:c r="Q3" s="26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26" t="n">
        <x:f>RANK.EQ(H4,$H$2:$H$21,0)</x:f>
        <x:v>3</x:v>
      </x:c>
      <x:c r="B4" s="26" t="str">
        <x:v>Perumahan Kluster Jalan Rejang</x:v>
      </x:c>
      <x:c r="C4" s="26" t="str">
        <x:v>PTKL Specific Site 4; R3, PR 1:3.5</x:v>
      </x:c>
      <x:c r="D4" s="34" t="n">
        <x:v>8.3</x:v>
      </x:c>
      <x:c r="E4" s="34" t="n">
        <x:v>10</x:v>
      </x:c>
      <x:c r="F4" s="34" t="n">
        <x:v>7</x:v>
      </x:c>
      <x:c r="G4" s="34" t="n">
        <x:v>7</x:v>
      </x:c>
      <x:c r="H4" s="34" t="n">
        <x:f>D4*Method!$B$4+E4*Method!$B$5+F4*Method!$B$6+G4*Method!$B$7</x:f>
        <x:v>8.205</x:v>
      </x:c>
      <x:c r="I4" s="26" t="str">
        <x:v>Research now</x:v>
      </x:c>
      <x:c r="J4" s="26" t="str">
        <x:v>High planning clarity + large Setapak demand base + cluster redevelopment route</x:v>
      </x:c>
      <x:c r="K4" s="26" t="str">
        <x:v>Execution still depends on owner aggregation</x:v>
      </x:c>
      <x:c r="L4" s="26" t="str">
        <x:v>https://ppkl.dbkl.gov.my/wp-content/uploads/2025/06/1.-VOLUME-1-PART-1_DEVELOPMENT-CONTROL_.pdf</x:v>
      </x:c>
      <x:c r="M4" s="4"/>
      <x:c r="N4" s="26"/>
      <x:c r="O4" s="26"/>
      <x:c r="P4" s="26"/>
      <x:c r="Q4" s="26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26" t="n">
        <x:f>RANK.EQ(H5,$H$2:$H$21,0)</x:f>
        <x:v>4</x:v>
      </x:c>
      <x:c r="B5" s="26" t="str">
        <x:v>Jalan Jinjang Aman, Jinjang Utara</x:v>
      </x:c>
      <x:c r="C5" s="26" t="str">
        <x:v>PTKL Specific Site 7; R2, PR 1:2.5</x:v>
      </x:c>
      <x:c r="D5" s="34" t="n">
        <x:v>7.8</x:v>
      </x:c>
      <x:c r="E5" s="34" t="n">
        <x:v>10</x:v>
      </x:c>
      <x:c r="F5" s="34" t="n">
        <x:v>6.5</x:v>
      </x:c>
      <x:c r="G5" s="34" t="n">
        <x:v>8</x:v>
      </x:c>
      <x:c r="H5" s="34" t="n">
        <x:f>D5*Method!$B$4+E5*Method!$B$5+F5*Method!$B$6+G5*Method!$B$7</x:f>
        <x:v>8.055</x:v>
      </x:c>
      <x:c r="I5" s="26" t="str">
        <x:v>Early / underfollowed</x:v>
      </x:c>
      <x:c r="J5" s="26" t="str">
        <x:v>Very clear rulebook, cheaper starting land, less crowded than prime-city sites</x:v>
      </x:c>
      <x:c r="K5" s="26" t="str">
        <x:v>Lower achievable ASP limits GDV</x:v>
      </x:c>
      <x:c r="L5" s="26" t="str">
        <x:v>https://ppkl.dbkl.gov.my/wp-content/uploads/2025/06/1.-VOLUME-1-PART-1_DEVELOPMENT-CONTROL_.pdf</x:v>
      </x:c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26" t="n">
        <x:f>RANK.EQ(H6,$H$2:$H$21,0)</x:f>
        <x:v>4</x:v>
      </x:c>
      <x:c r="B6" s="26" t="str">
        <x:v>Jalan Jinjang Selatan</x:v>
      </x:c>
      <x:c r="C6" s="26" t="str">
        <x:v>PTKL Specific Site 8; R2, PR 1:2.5</x:v>
      </x:c>
      <x:c r="D6" s="34" t="n">
        <x:v>7.8</x:v>
      </x:c>
      <x:c r="E6" s="34" t="n">
        <x:v>10</x:v>
      </x:c>
      <x:c r="F6" s="34" t="n">
        <x:v>6.5</x:v>
      </x:c>
      <x:c r="G6" s="34" t="n">
        <x:v>8</x:v>
      </x:c>
      <x:c r="H6" s="34" t="n">
        <x:f>D6*Method!$B$4+E6*Method!$B$5+F6*Method!$B$6+G6*Method!$B$7</x:f>
        <x:v>8.055</x:v>
      </x:c>
      <x:c r="I6" s="26" t="str">
        <x:v>Early / underfollowed</x:v>
      </x:c>
      <x:c r="J6" s="26" t="str">
        <x:v>Clear redevelopment conditions + potential for block assembly before wider repricing</x:v>
      </x:c>
      <x:c r="K6" s="26" t="str">
        <x:v>Lower end-value and infrastructure constraints</x:v>
      </x:c>
      <x:c r="L6" s="26" t="str">
        <x:v>https://ppkl.dbkl.gov.my/wp-content/uploads/2025/06/1.-VOLUME-1-PART-1_DEVELOPMENT-CONTROL_.pdf</x:v>
      </x:c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26" t="n">
        <x:f>RANK.EQ(H7,$H$2:$H$21,0)</x:f>
        <x:v>6</x:v>
      </x:c>
      <x:c r="B7" s="26" t="str">
        <x:v>Kampung Datuk Keramat</x:v>
      </x:c>
      <x:c r="C7" s="26" t="str">
        <x:v>PTKL Specific Site 1; R3, PR 1:3</x:v>
      </x:c>
      <x:c r="D7" s="34" t="n">
        <x:v>9</x:v>
      </x:c>
      <x:c r="E7" s="34" t="n">
        <x:v>10</x:v>
      </x:c>
      <x:c r="F7" s="34" t="n">
        <x:v>5.5</x:v>
      </x:c>
      <x:c r="G7" s="34" t="n">
        <x:v>6.5</x:v>
      </x:c>
      <x:c r="H7" s="34" t="n">
        <x:f>D7*Method!$B$4+E7*Method!$B$5+F7*Method!$B$6+G7*Method!$B$7</x:f>
        <x:v>8</x:v>
      </x:c>
      <x:c r="I7" s="26" t="str">
        <x:v>Research now</x:v>
      </x:c>
      <x:c r="J7" s="26" t="str">
        <x:v>Central KL location with explicit 30,000-sq-ft assembly framework</x:v>
      </x:c>
      <x:c r="K7" s="26" t="str">
        <x:v>Fragmented landed ownership / social complexity</x:v>
      </x:c>
      <x:c r="L7" s="26" t="str">
        <x:v>https://ppkl.dbkl.gov.my/wp-content/uploads/2025/06/1.-VOLUME-1-PART-1_DEVELOPMENT-CONTROL_.pdf</x:v>
      </x:c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26" t="n">
        <x:f>RANK.EQ(H8,$H$2:$H$21,0)</x:f>
        <x:v>7</x:v>
      </x:c>
      <x:c r="B8" s="26" t="str">
        <x:v>Kampung Pantai, Pantai Dalam</x:v>
      </x:c>
      <x:c r="C8" s="26" t="str">
        <x:v>PTKL Specific Site 3; R3, PR 1:3.5</x:v>
      </x:c>
      <x:c r="D8" s="34" t="n">
        <x:v>8.7</x:v>
      </x:c>
      <x:c r="E8" s="34" t="n">
        <x:v>9.5</x:v>
      </x:c>
      <x:c r="F8" s="34" t="n">
        <x:v>6</x:v>
      </x:c>
      <x:c r="G8" s="34" t="n">
        <x:v>7</x:v>
      </x:c>
      <x:c r="H8" s="34" t="n">
        <x:f>D8*Method!$B$4+E8*Method!$B$5+F8*Method!$B$6+G8*Method!$B$7</x:f>
        <x:v>7.97</x:v>
      </x:c>
      <x:c r="I8" s="26" t="str">
        <x:v>Research now</x:v>
      </x:c>
      <x:c r="J8" s="26" t="str">
        <x:v>Bangsar South/Pantai spillover + specific redevelopment status</x:v>
      </x:c>
      <x:c r="K8" s="26" t="str">
        <x:v>Assembly and local access constraints</x:v>
      </x:c>
      <x:c r="L8" s="26" t="str">
        <x:v>https://ppkl.dbkl.gov.my/wp-content/uploads/2025/06/1.-VOLUME-1-PART-1_DEVELOPMENT-CONTROL_.pdf</x:v>
      </x:c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26" t="n">
        <x:f>RANK.EQ(H9,$H$2:$H$21,0)</x:f>
        <x:v>8</x:v>
      </x:c>
      <x:c r="B9" s="26" t="str">
        <x:v>Flat Taman Shamelin Perkasa</x:v>
      </x:c>
      <x:c r="C9" s="26" t="str">
        <x:v>JWP Site 22; lot 54591</x:v>
      </x:c>
      <x:c r="D9" s="34" t="n">
        <x:v>8.5</x:v>
      </x:c>
      <x:c r="E9" s="34" t="n">
        <x:v>7.5</x:v>
      </x:c>
      <x:c r="F9" s="34" t="n">
        <x:v>8</x:v>
      </x:c>
      <x:c r="G9" s="34" t="n">
        <x:v>6.5</x:v>
      </x:c>
      <x:c r="H9" s="34" t="n">
        <x:f>D9*Method!$B$4+E9*Method!$B$5+F9*Method!$B$6+G9*Method!$B$7</x:f>
        <x:v>7.824999999999999</x:v>
      </x:c>
      <x:c r="I9" s="26" t="str">
        <x:v>Research now</x:v>
      </x:c>
      <x:c r="J9" s="26" t="str">
        <x:v>Single-lot anchor improves dealability; surrounded by urban intensification</x:v>
      </x:c>
      <x:c r="K9" s="26" t="str">
        <x:v>Need confirm title/ownership and final PTKL intensity</x:v>
      </x:c>
      <x:c r="L9" s="26" t="str">
        <x:v>https://www.jwp.gov.my/storage/media/49-TAPAK-PEMBANGUNAN-SEMULA-KL.pdf</x:v>
      </x:c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26" t="n">
        <x:f>RANK.EQ(H10,$H$2:$H$21,0)</x:f>
        <x:v>9</x:v>
      </x:c>
      <x:c r="B10" s="26" t="str">
        <x:v>Flat Taman Bukit Angkasa</x:v>
      </x:c>
      <x:c r="C10" s="26" t="str">
        <x:v>JWP Site 33; Lembah Pantai; 6 official lots</x:v>
      </x:c>
      <x:c r="D10" s="34" t="n">
        <x:v>8.8</x:v>
      </x:c>
      <x:c r="E10" s="34" t="n">
        <x:v>7.5</x:v>
      </x:c>
      <x:c r="F10" s="34" t="n">
        <x:v>7</x:v>
      </x:c>
      <x:c r="G10" s="34" t="n">
        <x:v>7</x:v>
      </x:c>
      <x:c r="H10" s="34" t="n">
        <x:f>D10*Method!$B$4+E10*Method!$B$5+F10*Method!$B$6+G10*Method!$B$7</x:f>
        <x:v>7.755</x:v>
      </x:c>
      <x:c r="I10" s="26" t="str">
        <x:v>Research now</x:v>
      </x:c>
      <x:c r="J10" s="26" t="str">
        <x:v>Old stock in a corridor influenced by Bangsar South/Pantai Dalam employment and transit</x:v>
      </x:c>
      <x:c r="K10" s="26" t="str">
        <x:v>Need lot-level zoning/intensity check</x:v>
      </x:c>
      <x:c r="L10" s="26" t="str">
        <x:v>https://www.jwp.gov.my/storage/media/49-TAPAK-PEMBANGUNAN-SEMULA-KL.pdf</x:v>
      </x:c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26" t="n">
        <x:f>RANK.EQ(H11,$H$2:$H$21,0)</x:f>
        <x:v>10</x:v>
      </x:c>
      <x:c r="B11" s="26" t="str">
        <x:v>Flat Kuchai Jaya</x:v>
      </x:c>
      <x:c r="C11" s="26" t="str">
        <x:v>JWP Site 40; lot 33598</x:v>
      </x:c>
      <x:c r="D11" s="34" t="n">
        <x:v>8</x:v>
      </x:c>
      <x:c r="E11" s="34" t="n">
        <x:v>7.5</x:v>
      </x:c>
      <x:c r="F11" s="34" t="n">
        <x:v>8</x:v>
      </x:c>
      <x:c r="G11" s="34" t="n">
        <x:v>7</x:v>
      </x:c>
      <x:c r="H11" s="34" t="n">
        <x:f>D11*Method!$B$4+E11*Method!$B$5+F11*Method!$B$6+G11*Method!$B$7</x:f>
        <x:v>7.725</x:v>
      </x:c>
      <x:c r="I11" s="26" t="str">
        <x:v>Research now</x:v>
      </x:c>
      <x:c r="J11" s="26" t="str">
        <x:v>Single-lot anchor and strong Kuchai/Sri Petaling demand catchment</x:v>
      </x:c>
      <x:c r="K11" s="26" t="str">
        <x:v>Need establish owner count and land tenure</x:v>
      </x:c>
      <x:c r="L11" s="26" t="str">
        <x:v>https://www.jwp.gov.my/storage/media/49-TAPAK-PEMBANGUNAN-SEMULA-KL.pdf</x:v>
      </x:c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26" t="n">
        <x:f>RANK.EQ(H12,$H$2:$H$21,0)</x:f>
        <x:v>11</x:v>
      </x:c>
      <x:c r="B12" s="26" t="str">
        <x:v>Flat Taman Pertama</x:v>
      </x:c>
      <x:c r="C12" s="26" t="str">
        <x:v>JWP Site 20; lots 40010-40013</x:v>
      </x:c>
      <x:c r="D12" s="34" t="n">
        <x:v>8.5</x:v>
      </x:c>
      <x:c r="E12" s="34" t="n">
        <x:v>7.5</x:v>
      </x:c>
      <x:c r="F12" s="34" t="n">
        <x:v>7.5</x:v>
      </x:c>
      <x:c r="G12" s="34" t="n">
        <x:v>6.5</x:v>
      </x:c>
      <x:c r="H12" s="34" t="n">
        <x:f>D12*Method!$B$4+E12*Method!$B$5+F12*Method!$B$6+G12*Method!$B$7</x:f>
        <x:v>7.699999999999999</x:v>
      </x:c>
      <x:c r="I12" s="26" t="str">
        <x:v>Research now</x:v>
      </x:c>
      <x:c r="J12" s="26" t="str">
        <x:v>Transit-served Cheras node with old stock and manageable number of lots</x:v>
      </x:c>
      <x:c r="K12" s="26" t="str">
        <x:v>End values below central-KL prime sites</x:v>
      </x:c>
      <x:c r="L12" s="26" t="str">
        <x:v>https://www.jwp.gov.my/storage/media/49-TAPAK-PEMBANGUNAN-SEMULA-KL.pdf</x:v>
      </x:c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26" t="n">
        <x:f>RANK.EQ(H13,$H$2:$H$21,0)</x:f>
        <x:v>12</x:v>
      </x:c>
      <x:c r="B13" s="26" t="str">
        <x:v>Flat Taman Maluri</x:v>
      </x:c>
      <x:c r="C13" s="26" t="str">
        <x:v>JWP Site 23; lots 6946 &amp; 6949</x:v>
      </x:c>
      <x:c r="D13" s="34" t="n">
        <x:v>8.8</x:v>
      </x:c>
      <x:c r="E13" s="34" t="n">
        <x:v>7.5</x:v>
      </x:c>
      <x:c r="F13" s="34" t="n">
        <x:v>7</x:v>
      </x:c>
      <x:c r="G13" s="34" t="n">
        <x:v>6</x:v>
      </x:c>
      <x:c r="H13" s="34" t="n">
        <x:f>D13*Method!$B$4+E13*Method!$B$5+F13*Method!$B$6+G13*Method!$B$7</x:f>
        <x:v>7.605</x:v>
      </x:c>
      <x:c r="I13" s="26" t="str">
        <x:v>Research now</x:v>
      </x:c>
      <x:c r="J13" s="26" t="str">
        <x:v>Mature high-demand node with MRT/LRT accessibility and redevelopment-friendly surrounding values</x:v>
      </x:c>
      <x:c r="K13" s="26" t="str">
        <x:v>Already recognised location; less information edge</x:v>
      </x:c>
      <x:c r="L13" s="26" t="str">
        <x:v>https://www.jwp.gov.my/storage/media/49-TAPAK-PEMBANGUNAN-SEMULA-KL.pdf</x:v>
      </x:c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26" t="n">
        <x:f>RANK.EQ(H14,$H$2:$H$21,0)</x:f>
        <x:v>12</x:v>
      </x:c>
      <x:c r="B14" s="26" t="str">
        <x:v>Flat Taman Melati</x:v>
      </x:c>
      <x:c r="C14" s="26" t="str">
        <x:v>JWP Site 26; 4 lots</x:v>
      </x:c>
      <x:c r="D14" s="34" t="n">
        <x:v>7.8</x:v>
      </x:c>
      <x:c r="E14" s="34" t="n">
        <x:v>7.5</x:v>
      </x:c>
      <x:c r="F14" s="34" t="n">
        <x:v>7.5</x:v>
      </x:c>
      <x:c r="G14" s="34" t="n">
        <x:v>7.5</x:v>
      </x:c>
      <x:c r="H14" s="34" t="n">
        <x:f>D14*Method!$B$4+E14*Method!$B$5+F14*Method!$B$6+G14*Method!$B$7</x:f>
        <x:v>7.605</x:v>
      </x:c>
      <x:c r="I14" s="26" t="str">
        <x:v>Early / watch</x:v>
      </x:c>
      <x:c r="J14" s="26" t="str">
        <x:v>Rail-served mature catchment + only four official lots</x:v>
      </x:c>
      <x:c r="K14" s="26" t="str">
        <x:v>Lower centrality caps redevelopment ASP</x:v>
      </x:c>
      <x:c r="L14" s="26" t="str">
        <x:v>https://www.jwp.gov.my/storage/media/49-TAPAK-PEMBANGUNAN-SEMULA-KL.pdf</x:v>
      </x:c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26" t="n">
        <x:f>RANK.EQ(H15,$H$2:$H$21,0)</x:f>
        <x:v>14</x:v>
      </x:c>
      <x:c r="B15" s="26" t="str">
        <x:v>Flat Kuchai Entrepreneurs Park</x:v>
      </x:c>
      <x:c r="C15" s="26" t="str">
        <x:v>JWP Site 38; lots 32082 &amp; 32087</x:v>
      </x:c>
      <x:c r="D15" s="34" t="n">
        <x:v>8.2</x:v>
      </x:c>
      <x:c r="E15" s="34" t="n">
        <x:v>7.5</x:v>
      </x:c>
      <x:c r="F15" s="34" t="n">
        <x:v>7.5</x:v>
      </x:c>
      <x:c r="G15" s="34" t="n">
        <x:v>6.5</x:v>
      </x:c>
      <x:c r="H15" s="34" t="n">
        <x:f>D15*Method!$B$4+E15*Method!$B$5+F15*Method!$B$6+G15*Method!$B$7</x:f>
        <x:v>7.594999999999999</x:v>
      </x:c>
      <x:c r="I15" s="26" t="str">
        <x:v>Research now</x:v>
      </x:c>
      <x:c r="J15" s="26" t="str">
        <x:v>Only two lots + Kuchai mature commercial/transit catchment = attractive assembly economics</x:v>
      </x:c>
      <x:c r="K15" s="26" t="str">
        <x:v>Need exact plot ratio and existing strata structure</x:v>
      </x:c>
      <x:c r="L15" s="26" t="str">
        <x:v>https://www.jwp.gov.my/storage/media/49-TAPAK-PEMBANGUNAN-SEMULA-KL.pdf</x:v>
      </x:c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26" t="n">
        <x:f>RANK.EQ(H16,$H$2:$H$21,0)</x:f>
        <x:v>15</x:v>
      </x:c>
      <x:c r="B16" s="26" t="str">
        <x:v>Flat Bandar Baru Sentul Fasa 3</x:v>
      </x:c>
      <x:c r="C16" s="26" t="str">
        <x:v>JWP Site 27; 18 lots</x:v>
      </x:c>
      <x:c r="D16" s="34" t="n">
        <x:v>8.4</x:v>
      </x:c>
      <x:c r="E16" s="34" t="n">
        <x:v>7.5</x:v>
      </x:c>
      <x:c r="F16" s="34" t="n">
        <x:v>6.5</x:v>
      </x:c>
      <x:c r="G16" s="34" t="n">
        <x:v>7</x:v>
      </x:c>
      <x:c r="H16" s="34" t="n">
        <x:f>D16*Method!$B$4+E16*Method!$B$5+F16*Method!$B$6+G16*Method!$B$7</x:f>
        <x:v>7.489999999999999</x:v>
      </x:c>
      <x:c r="I16" s="26" t="str">
        <x:v>Research now</x:v>
      </x:c>
      <x:c r="J16" s="26" t="str">
        <x:v>Sentul urban regeneration + rail accessibility + ageing stock</x:v>
      </x:c>
      <x:c r="K16" s="26" t="str">
        <x:v>Fragmentation and competition from existing Sentul developers</x:v>
      </x:c>
      <x:c r="L16" s="26" t="str">
        <x:v>https://www.jwp.gov.my/storage/media/49-TAPAK-PEMBANGUNAN-SEMULA-KL.pdf</x:v>
      </x:c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26" t="n">
        <x:f>RANK.EQ(H17,$H$2:$H$21,0)</x:f>
        <x:v>16</x:v>
      </x:c>
      <x:c r="B17" s="26" t="str">
        <x:v>Flat PKNS Jalan Kuching</x:v>
      </x:c>
      <x:c r="C17" s="26" t="str">
        <x:v>JWP Site 30; 10 lots</x:v>
      </x:c>
      <x:c r="D17" s="34" t="n">
        <x:v>8.3</x:v>
      </x:c>
      <x:c r="E17" s="34" t="n">
        <x:v>7.5</x:v>
      </x:c>
      <x:c r="F17" s="34" t="n">
        <x:v>6.5</x:v>
      </x:c>
      <x:c r="G17" s="34" t="n">
        <x:v>7</x:v>
      </x:c>
      <x:c r="H17" s="34" t="n">
        <x:f>D17*Method!$B$4+E17*Method!$B$5+F17*Method!$B$6+G17*Method!$B$7</x:f>
        <x:v>7.455</x:v>
      </x:c>
      <x:c r="I17" s="26" t="str">
        <x:v>Research now</x:v>
      </x:c>
      <x:c r="J17" s="26" t="str">
        <x:v>Jalan Kuching corridor + future connectivity + defined lot set</x:v>
      </x:c>
      <x:c r="K17" s="26" t="str">
        <x:v>Institutional/PKNS ownership complexity</x:v>
      </x:c>
      <x:c r="L17" s="26" t="str">
        <x:v>https://www.jwp.gov.my/storage/media/49-TAPAK-PEMBANGUNAN-SEMULA-KL.pdf</x:v>
      </x:c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26" t="n">
        <x:f>RANK.EQ(H18,$H$2:$H$21,0)</x:f>
        <x:v>17</x:v>
      </x:c>
      <x:c r="B18" s="26" t="str">
        <x:v>Flat Jalan Tiong Nam</x:v>
      </x:c>
      <x:c r="C18" s="26" t="str">
        <x:v>JWP Site 45; Seksyen 46; 15 lots</x:v>
      </x:c>
      <x:c r="D18" s="34" t="n">
        <x:v>8.8</x:v>
      </x:c>
      <x:c r="E18" s="34" t="n">
        <x:v>7.5</x:v>
      </x:c>
      <x:c r="F18" s="34" t="n">
        <x:v>6</x:v>
      </x:c>
      <x:c r="G18" s="34" t="n">
        <x:v>6.5</x:v>
      </x:c>
      <x:c r="H18" s="34" t="n">
        <x:f>D18*Method!$B$4+E18*Method!$B$5+F18*Method!$B$6+G18*Method!$B$7</x:f>
        <x:v>7.43</x:v>
      </x:c>
      <x:c r="I18" s="26" t="str">
        <x:v>Research now</x:v>
      </x:c>
      <x:c r="J18" s="26" t="str">
        <x:v>Near-city-core land with a smaller official lot set than many central sites</x:v>
      </x:c>
      <x:c r="K18" s="26" t="str">
        <x:v>Local urban fabric and assembly complexity</x:v>
      </x:c>
      <x:c r="L18" s="26" t="str">
        <x:v>https://www.jwp.gov.my/storage/media/49-TAPAK-PEMBANGUNAN-SEMULA-KL.pdf</x:v>
      </x:c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26" t="n">
        <x:f>RANK.EQ(H19,$H$2:$H$21,0)</x:f>
        <x:v>18</x:v>
      </x:c>
      <x:c r="B19" s="26" t="str">
        <x:v>Flat Jalan Barat (bersebelahan TRX)</x:v>
      </x:c>
      <x:c r="C19" s="26" t="str">
        <x:v>JWP Site 43; Seksyen 67; detailed lot clusters</x:v>
      </x:c>
      <x:c r="D19" s="34" t="n">
        <x:v>10</x:v>
      </x:c>
      <x:c r="E19" s="34" t="n">
        <x:v>8</x:v>
      </x:c>
      <x:c r="F19" s="34" t="n">
        <x:v>5</x:v>
      </x:c>
      <x:c r="G19" s="34" t="n">
        <x:v>4</x:v>
      </x:c>
      <x:c r="H19" s="34" t="n">
        <x:f>D19*Method!$B$4+E19*Method!$B$5+F19*Method!$B$6+G19*Method!$B$7</x:f>
        <x:v>7.35</x:v>
      </x:c>
      <x:c r="I19" s="26" t="str">
        <x:v>Research now</x:v>
      </x:c>
      <x:c r="J19" s="26" t="str">
        <x:v>Extreme gap between current low-rise/older stock and TRX/Bukit Bintang land economics</x:v>
      </x:c>
      <x:c r="K19" s="26" t="str">
        <x:v>Very fragmented ownership + high competition</x:v>
      </x:c>
      <x:c r="L19" s="26" t="str">
        <x:v>https://www.jwp.gov.my/storage/media/49-TAPAK-PEMBANGUNAN-SEMULA-KL.pdf</x:v>
      </x:c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26" t="n">
        <x:f>RANK.EQ(H20,$H$2:$H$21,0)</x:f>
        <x:v>19</x:v>
      </x:c>
      <x:c r="B20" s="26" t="str">
        <x:v>Flat Jalan Walter Granier</x:v>
      </x:c>
      <x:c r="C20" s="26" t="str">
        <x:v>JWP Site 41; Seksyen 67; 58 lots</x:v>
      </x:c>
      <x:c r="D20" s="34" t="n">
        <x:v>9.5</x:v>
      </x:c>
      <x:c r="E20" s="34" t="n">
        <x:v>7.5</x:v>
      </x:c>
      <x:c r="F20" s="34" t="n">
        <x:v>4.5</x:v>
      </x:c>
      <x:c r="G20" s="34" t="n">
        <x:v>5</x:v>
      </x:c>
      <x:c r="H20" s="34" t="n">
        <x:f>D20*Method!$B$4+E20*Method!$B$5+F20*Method!$B$6+G20*Method!$B$7</x:f>
        <x:v>7.074999999999999</x:v>
      </x:c>
      <x:c r="I20" s="26" t="str">
        <x:v>High upside / hard deal</x:v>
      </x:c>
      <x:c r="J20" s="26" t="str">
        <x:v>Bukit Bintang land economics create enormous latent value</x:v>
      </x:c>
      <x:c r="K20" s="26" t="str">
        <x:v>58-lot assembly and intense developer competition</x:v>
      </x:c>
      <x:c r="L20" s="26" t="str">
        <x:v>https://www.jwp.gov.my/storage/media/49-TAPAK-PEMBANGUNAN-SEMULA-KL.pdf</x:v>
      </x:c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26" t="n">
        <x:f>RANK.EQ(H21,$H$2:$H$21,0)</x:f>
        <x:v>20</x:v>
      </x:c>
      <x:c r="B21" s="26" t="str">
        <x:v>Flat PKNS Jalan Tun Razak</x:v>
      </x:c>
      <x:c r="C21" s="26" t="str">
        <x:v>JWP Site 29; 7 lots; active redevelopment proposal</x:v>
      </x:c>
      <x:c r="D21" s="34" t="n">
        <x:v>9.5</x:v>
      </x:c>
      <x:c r="E21" s="34" t="n">
        <x:v>8.5</x:v>
      </x:c>
      <x:c r="F21" s="34" t="n">
        <x:v>3.5</x:v>
      </x:c>
      <x:c r="G21" s="34" t="n">
        <x:v>2.5</x:v>
      </x:c>
      <x:c r="H21" s="34" t="n">
        <x:f>D21*Method!$B$4+E21*Method!$B$5+F21*Method!$B$6+G21*Method!$B$7</x:f>
        <x:v>6.699999999999999</x:v>
      </x:c>
      <x:c r="I21" s="26" t="str">
        <x:v>Already in play</x:v>
      </x:c>
      <x:c r="J21" s="26" t="str">
        <x:v>Excellent benchmark of central-KL redevelopment economics</x:v>
      </x:c>
      <x:c r="K21" s="26" t="str">
        <x:v>Opportunity is largely captured by an active developer process</x:v>
      </x:c>
      <x:c r="L21" s="26" t="str">
        <x:v>https://www.jwp.gov.my/storage/media/49-TAPAK-PEMBANGUNAN-SEMULA-KL.pdf</x:v>
      </x:c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mergeCells>
    <x:mergeCell ref="N1:Q1"/>
    <x:mergeCell ref="N2:Q4"/>
  </x:mergeCells>
  <x:conditionalFormatting sqref="H2:H21">
    <x:cfRule type="colorScale" priority="1">
      <x:colorScale>
        <x:cfvo type="min"/>
        <x:cfvo type="percentile" val="50"/>
        <x:cfvo type="max"/>
        <x:color rgb="FFFCE8E6"/>
        <x:color rgb="FFFFF4CC"/>
        <x:color rgb="FFD9EAD3"/>
      </x:colorScale>
    </x:cfRule>
  </x:conditionalFormatting>
  <x:conditionalFormatting sqref="D2:G21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{C3C49DD2-FC26-1230-A309-A3EFB386E33A}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ea3cc4141ac4d0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3C49DD2-FC26-1230-A309-A3EFB386E33A}">
            <x14:dataBar gradient="1">
              <x14:cfvo type="min"/>
              <x14:cfvo type="max"/>
              <x14:fillColor rgb="FFA02B93"/>
            </x14:dataBar>
          </x14:cfRule>
          <xm:sqref>D2:G21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7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54" hidden="0" customWidth="1"/>
    <x:col min="9" max="9" width="45" hidden="0" customWidth="1"/>
    <x:col min="10" max="10" width="45" hidden="0" customWidth="1"/>
  </x:cols>
  <x:sheetData>
    <x:row r="1">
      <x:c r="A1" s="90" t="str">
        <x:v>Residual Land Value – First-Pass Underwriting Inputs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</x:row>
    <x:row r="3">
      <x:c r="A3" s="91" t="str">
        <x:v>Site</x:v>
      </x:c>
      <x:c r="B3" s="91" t="str">
        <x:v>Official / provisional base PR</x:v>
      </x:c>
      <x:c r="C3" s="91" t="str">
        <x:v>PR status</x:v>
      </x:c>
      <x:c r="D3" s="91" t="str">
        <x:v>Downside ASP (RM/sf saleable)</x:v>
      </x:c>
      <x:c r="E3" s="91" t="str">
        <x:v>Base ASP (RM/sf saleable)</x:v>
      </x:c>
      <x:c r="F3" s="91" t="str">
        <x:v>Upside ASP (RM/sf saleable)</x:v>
      </x:c>
      <x:c r="G3" s="91" t="str">
        <x:v>Base hard cost (RM/sf GFA)</x:v>
      </x:c>
      <x:c r="H3" s="91" t="str">
        <x:v>Market benchmark / rationale</x:v>
      </x:c>
      <x:c r="I3" s="91" t="str">
        <x:v>Planning source</x:v>
      </x:c>
      <x:c r="J3" s="91" t="str">
        <x:v>Market / cost source</x:v>
      </x:c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</x:row>
    <x:row r="4">
      <x:c r="A4" s="26" t="str">
        <x:v>Apartmen Taman Taiping, Jalan Tandok</x:v>
      </x:c>
      <x:c r="B4" s="124" t="n">
        <x:v>4</x:v>
      </x:c>
      <x:c r="C4" s="125" t="str">
        <x:v>Official PTKL specific-site PR</x:v>
      </x:c>
      <x:c r="D4" s="126" t="n">
        <x:v>900</x:v>
      </x:c>
      <x:c r="E4" s="126" t="n">
        <x:v>1100</x:v>
      </x:c>
      <x:c r="F4" s="126" t="n">
        <x:v>1250</x:v>
      </x:c>
      <x:c r="G4" s="126" t="n">
        <x:v>400</x:v>
      </x:c>
      <x:c r="H4" s="26" t="str">
        <x:v>Nearby Nadi Bangsar current asks span roughly RM733–1,378 psf; model base set at RM1,100 psf.</x:v>
      </x:c>
      <x:c r="I4" s="26" t="str">
        <x:v>https://ppkl.dbkl.gov.my/wp-content/uploads/2025/06/1.-VOLUME-1-PART-1_DEVELOPMENT-CONTROL_.pdf</x:v>
      </x:c>
      <x:c r="J4" s="26" t="str">
        <x:v>https://www.propertyguru.com.my/property-for-sale/at-nadi-bangsar-6050</x:v>
      </x:c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</x:row>
    <x:row r="5">
      <x:c r="A5" s="26" t="str">
        <x:v>Perumahan Jalan Jujur &amp; Jalan Ikhlas</x:v>
      </x:c>
      <x:c r="B5" s="124" t="n">
        <x:v>3.5</x:v>
      </x:c>
      <x:c r="C5" s="125" t="str">
        <x:v>Official PTKL specific-site PR</x:v>
      </x:c>
      <x:c r="D5" s="126" t="n">
        <x:v>450</x:v>
      </x:c>
      <x:c r="E5" s="126" t="n">
        <x:v>550</x:v>
      </x:c>
      <x:c r="F5" s="126" t="n">
        <x:v>650</x:v>
      </x:c>
      <x:c r="G5" s="126" t="n">
        <x:v>280</x:v>
      </x:c>
      <x:c r="H5" s="26" t="str">
        <x:v>Nearby Residensi Razakmas 2 asks around RM353 psf but is a controlled affordable scheme; redevelopment ASP assumption is deliberately stress-tested above this.</x:v>
      </x:c>
      <x:c r="I5" s="26" t="str">
        <x:v>https://ppkl.dbkl.gov.my/wp-content/uploads/2025/06/1.-VOLUME-1-PART-1_DEVELOPMENT-CONTROL_.pdf</x:v>
      </x:c>
      <x:c r="J5" s="26" t="str">
        <x:v>https://www.propertyguru.com.my/bm/hartanah-dijual/di-residensi-razakmas-2-20796</x:v>
      </x:c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</x:row>
    <x:row r="6">
      <x:c r="A6" s="26" t="str">
        <x:v>Perumahan Kluster Jalan Rejang</x:v>
      </x:c>
      <x:c r="B6" s="124" t="n">
        <x:v>3.5</x:v>
      </x:c>
      <x:c r="C6" s="125" t="str">
        <x:v>Official PTKL specific-site PR</x:v>
      </x:c>
      <x:c r="D6" s="126" t="n">
        <x:v>500</x:v>
      </x:c>
      <x:c r="E6" s="126" t="n">
        <x:v>600</x:v>
      </x:c>
      <x:c r="F6" s="126" t="n">
        <x:v>700</x:v>
      </x:c>
      <x:c r="G6" s="126" t="n">
        <x:v>290</x:v>
      </x:c>
      <x:c r="H6" s="26" t="str">
        <x:v>Residensi Rampai II asks roughly RM446–568 psf; M Azura nearby asks around RM541 psf in current listings. Base assumes new-product premium.</x:v>
      </x:c>
      <x:c r="I6" s="26" t="str">
        <x:v>https://ppkl.dbkl.gov.my/wp-content/uploads/2025/06/1.-VOLUME-1-PART-1_DEVELOPMENT-CONTROL_.pdf</x:v>
      </x:c>
      <x:c r="J6" s="26" t="str">
        <x:v>https://www.propertyguru.com.my/condo-for-sale/at-residensi-rampai-ii-9686</x:v>
      </x:c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</x:row>
    <x:row r="7">
      <x:c r="A7" s="26" t="str">
        <x:v>Kampung Datuk Keramat</x:v>
      </x:c>
      <x:c r="B7" s="124" t="n">
        <x:v>3</x:v>
      </x:c>
      <x:c r="C7" s="125" t="str">
        <x:v>Official PTKL specific-site PR</x:v>
      </x:c>
      <x:c r="D7" s="126" t="n">
        <x:v>700</x:v>
      </x:c>
      <x:c r="E7" s="126" t="n">
        <x:v>850</x:v>
      </x:c>
      <x:c r="F7" s="126" t="n">
        <x:v>1000</x:v>
      </x:c>
      <x:c r="G7" s="126" t="n">
        <x:v>350</x:v>
      </x:c>
      <x:c r="H7" s="26" t="str">
        <x:v>Current residential-land asks range widely; examples include ~RM144, RM333, RM500, RM549, RM600+ psf land. Base end-product ASP is an underwriting assumption, not a valuation.</x:v>
      </x:c>
      <x:c r="I7" s="26" t="str">
        <x:v>https://ppkl.dbkl.gov.my/wp-content/uploads/2025/06/1.-VOLUME-1-PART-1_DEVELOPMENT-CONTROL_.pdf</x:v>
      </x:c>
      <x:c r="J7" s="26" t="str">
        <x:v>https://www.propertyguru.com.my/residential-land-for-sale/in-keramat-9vnxt</x:v>
      </x:c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</x:row>
    <x:row r="8">
      <x:c r="A8" s="26" t="str">
        <x:v>Flat Taman Bukit Angkasa</x:v>
      </x:c>
      <x:c r="B8" s="124" t="n">
        <x:v>3.5</x:v>
      </x:c>
      <x:c r="C8" s="125" t="str">
        <x:v>PROVISIONAL – exact DCP2 intensity to confirm</x:v>
      </x:c>
      <x:c r="D8" s="126" t="n">
        <x:v>650</x:v>
      </x:c>
      <x:c r="E8" s="126" t="n">
        <x:v>775</x:v>
      </x:c>
      <x:c r="F8" s="126" t="n">
        <x:v>900</x:v>
      </x:c>
      <x:c r="G8" s="126" t="n">
        <x:v>320</x:v>
      </x:c>
      <x:c r="H8" s="26" t="str">
        <x:v>Nearby Pantai new launch asks around RM770 psf; Residensi Rimba recent transactions around RM817–841 psf. Base set at RM775 psf.</x:v>
      </x:c>
      <x:c r="I8" s="26" t="str">
        <x:v>https://ppkl.dbkl.gov.my/</x:v>
      </x:c>
      <x:c r="J8" s="26" t="str">
        <x:v>https://www.brickz.my/transactions/residential/kuala-lumpur/pantai/residensi-rimba-pantai-dalam/non-landed/</x:v>
      </x:c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</x:row>
    <x:row r="11">
      <x:c r="A11" s="127" t="str">
        <x:v>Scenario &amp; Cost Assumptions</x:v>
      </x:c>
      <x:c r="B11" s="127"/>
      <x:c r="C11" s="127"/>
      <x:c r="D11" s="127"/>
      <x:c r="E11" s="127"/>
      <x:c r="F11" s="127"/>
      <x:c r="G11" s="26"/>
      <x:c r="H11" s="26"/>
      <x:c r="I11" s="26"/>
      <x:c r="J11" s="26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</x:row>
    <x:row r="12">
      <x:c r="A12" s="128" t="str">
        <x:v>Assumption</x:v>
      </x:c>
      <x:c r="B12" s="128" t="str">
        <x:v>Downside</x:v>
      </x:c>
      <x:c r="C12" s="128" t="str">
        <x:v>Base</x:v>
      </x:c>
      <x:c r="D12" s="128" t="str">
        <x:v>Upside</x:v>
      </x:c>
      <x:c r="E12" s="128" t="str">
        <x:v>Unit</x:v>
      </x:c>
      <x:c r="F12" s="128" t="str">
        <x:v>Comment</x:v>
      </x:c>
      <x:c r="G12" s="26"/>
      <x:c r="H12" s="26"/>
      <x:c r="I12" s="26"/>
      <x:c r="J12" s="26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</x:row>
    <x:row r="13">
      <x:c r="A13" s="26" t="str">
        <x:v>Normalized land area</x:v>
      </x:c>
      <x:c r="B13" s="129" t="n">
        <x:v>43560</x:v>
      </x:c>
      <x:c r="C13" s="129" t="n">
        <x:v>43560</x:v>
      </x:c>
      <x:c r="D13" s="129" t="n">
        <x:v>43560</x:v>
      </x:c>
      <x:c r="E13" s="26" t="str">
        <x:v>sq ft</x:v>
      </x:c>
      <x:c r="F13" s="26" t="str">
        <x:v>1 acre normalization; actual site area to be substituted later.</x:v>
      </x:c>
      <x:c r="G13" s="26"/>
      <x:c r="H13" s="26"/>
      <x:c r="I13" s="26"/>
      <x:c r="J13" s="26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</x:row>
    <x:row r="14">
      <x:c r="A14" s="26" t="str">
        <x:v>Saleable efficiency</x:v>
      </x:c>
      <x:c r="B14" s="130" t="n">
        <x:v>0.75</x:v>
      </x:c>
      <x:c r="C14" s="130" t="n">
        <x:v>0.78</x:v>
      </x:c>
      <x:c r="D14" s="130" t="n">
        <x:v>0.8</x:v>
      </x:c>
      <x:c r="E14" s="26" t="str">
        <x:v>% of GFA</x:v>
      </x:c>
      <x:c r="F14" s="26" t="str">
        <x:v>Model assumption.</x:v>
      </x:c>
      <x:c r="G14" s="26"/>
      <x:c r="H14" s="26"/>
      <x:c r="I14" s="26"/>
      <x:c r="J14" s="26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</x:row>
    <x:row r="15">
      <x:c r="A15" s="26" t="str">
        <x:v>Plot-ratio uplift</x:v>
      </x:c>
      <x:c r="B15" s="130" t="n">
        <x:v>0</x:v>
      </x:c>
      <x:c r="C15" s="130" t="n">
        <x:v>0</x:v>
      </x:c>
      <x:c r="D15" s="130" t="n">
        <x:v>0.25</x:v>
      </x:c>
      <x:c r="E15" s="26" t="str">
        <x:v>% of base PR</x:v>
      </x:c>
      <x:c r="F15" s="26" t="str">
        <x:v>Upside only; NOT an entitlement. Final PTKL says incentives are subject to assessment.</x:v>
      </x:c>
      <x:c r="G15" s="26"/>
      <x:c r="H15" s="26"/>
      <x:c r="I15" s="26"/>
      <x:c r="J15" s="26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</x:row>
    <x:row r="16">
      <x:c r="A16" s="26" t="str">
        <x:v>Hard-cost multiplier</x:v>
      </x:c>
      <x:c r="B16" s="131" t="n">
        <x:v>1.1</x:v>
      </x:c>
      <x:c r="C16" s="131" t="n">
        <x:v>1</x:v>
      </x:c>
      <x:c r="D16" s="131" t="n">
        <x:v>0.95</x:v>
      </x:c>
      <x:c r="E16" s="26" t="str">
        <x:v>x base hard cost</x:v>
      </x:c>
      <x:c r="F16" s="26" t="str">
        <x:v>Downside cost inflation / upside procurement efficiency.</x:v>
      </x:c>
      <x:c r="G16" s="26"/>
      <x:c r="H16" s="26"/>
      <x:c r="I16" s="26"/>
      <x:c r="J16" s="26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</x:row>
    <x:row r="17">
      <x:c r="A17" s="26" t="str">
        <x:v>Professional fees</x:v>
      </x:c>
      <x:c r="B17" s="130" t="n">
        <x:v>0.08</x:v>
      </x:c>
      <x:c r="C17" s="130" t="n">
        <x:v>0.08</x:v>
      </x:c>
      <x:c r="D17" s="130" t="n">
        <x:v>0.08</x:v>
      </x:c>
      <x:c r="E17" s="26" t="str">
        <x:v>% of hard cost</x:v>
      </x:c>
      <x:c r="F17" s="26" t="str">
        <x:v>Model assumption.</x:v>
      </x:c>
      <x:c r="G17" s="26"/>
      <x:c r="H17" s="26"/>
      <x:c r="I17" s="26"/>
      <x:c r="J17" s="26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</x:row>
    <x:row r="18">
      <x:c r="A18" s="26" t="str">
        <x:v>Contingency</x:v>
      </x:c>
      <x:c r="B18" s="130" t="n">
        <x:v>0.05</x:v>
      </x:c>
      <x:c r="C18" s="130" t="n">
        <x:v>0.05</x:v>
      </x:c>
      <x:c r="D18" s="130" t="n">
        <x:v>0.05</x:v>
      </x:c>
      <x:c r="E18" s="26" t="str">
        <x:v>% of hard cost</x:v>
      </x:c>
      <x:c r="F18" s="26" t="str">
        <x:v>Arcadis benchmark costs exclude contingencies.</x:v>
      </x:c>
      <x:c r="G18" s="26"/>
      <x:c r="H18" s="26"/>
      <x:c r="I18" s="26"/>
      <x:c r="J18" s="26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</x:row>
    <x:row r="19">
      <x:c r="A19" s="26" t="str">
        <x:v>Statutory / infra / development charges</x:v>
      </x:c>
      <x:c r="B19" s="130" t="n">
        <x:v>0.03</x:v>
      </x:c>
      <x:c r="C19" s="130" t="n">
        <x:v>0.03</x:v>
      </x:c>
      <x:c r="D19" s="130" t="n">
        <x:v>0.03</x:v>
      </x:c>
      <x:c r="E19" s="26" t="str">
        <x:v>% of GDV</x:v>
      </x:c>
      <x:c r="F19" s="26" t="str">
        <x:v>First-pass allowance; replace with site-specific authority charges.</x:v>
      </x:c>
      <x:c r="G19" s="26"/>
      <x:c r="H19" s="26"/>
      <x:c r="I19" s="26"/>
      <x:c r="J19" s="26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</x:row>
    <x:row r="20">
      <x:c r="A20" s="26" t="str">
        <x:v>Sales &amp; marketing</x:v>
      </x:c>
      <x:c r="B20" s="130" t="n">
        <x:v>0.03</x:v>
      </x:c>
      <x:c r="C20" s="130" t="n">
        <x:v>0.03</x:v>
      </x:c>
      <x:c r="D20" s="130" t="n">
        <x:v>0.03</x:v>
      </x:c>
      <x:c r="E20" s="26" t="str">
        <x:v>% of GDV</x:v>
      </x:c>
      <x:c r="F20" s="26" t="str">
        <x:v>Model assumption.</x:v>
      </x:c>
      <x:c r="G20" s="26"/>
      <x:c r="H20" s="26"/>
      <x:c r="I20" s="26"/>
      <x:c r="J20" s="26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</x:row>
    <x:row r="21">
      <x:c r="A21" s="26" t="str">
        <x:v>Finance</x:v>
      </x:c>
      <x:c r="B21" s="130" t="n">
        <x:v>0.05</x:v>
      </x:c>
      <x:c r="C21" s="130" t="n">
        <x:v>0.05</x:v>
      </x:c>
      <x:c r="D21" s="130" t="n">
        <x:v>0.05</x:v>
      </x:c>
      <x:c r="E21" s="26" t="str">
        <x:v>% of GDV</x:v>
      </x:c>
      <x:c r="F21" s="26" t="str">
        <x:v>Simplified first-pass financing allowance.</x:v>
      </x:c>
      <x:c r="G21" s="26"/>
      <x:c r="H21" s="26"/>
      <x:c r="I21" s="26"/>
      <x:c r="J21" s="26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</x:row>
    <x:row r="22">
      <x:c r="A22" s="26" t="str">
        <x:v>Demolition / relocation / logistics</x:v>
      </x:c>
      <x:c r="B22" s="130" t="n">
        <x:v>0.02</x:v>
      </x:c>
      <x:c r="C22" s="130" t="n">
        <x:v>0.02</x:v>
      </x:c>
      <x:c r="D22" s="130" t="n">
        <x:v>0.02</x:v>
      </x:c>
      <x:c r="E22" s="26" t="str">
        <x:v>% of GDV</x:v>
      </x:c>
      <x:c r="F22" s="26" t="str">
        <x:v>Critical urban-renewal allowance; actual owner rehousing can differ materially.</x:v>
      </x:c>
      <x:c r="G22" s="26"/>
      <x:c r="H22" s="26"/>
      <x:c r="I22" s="26"/>
      <x:c r="J22" s="26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</x:row>
    <x:row r="23">
      <x:c r="A23" s="26" t="str">
        <x:v>Developer profit requirement</x:v>
      </x:c>
      <x:c r="B23" s="130" t="n">
        <x:v>0.22</x:v>
      </x:c>
      <x:c r="C23" s="130" t="n">
        <x:v>0.2</x:v>
      </x:c>
      <x:c r="D23" s="130" t="n">
        <x:v>0.18</x:v>
      </x:c>
      <x:c r="E23" s="26" t="str">
        <x:v>% of GDV</x:v>
      </x:c>
      <x:c r="F23" s="26" t="str">
        <x:v>Residual model profit hurdle.</x:v>
      </x:c>
      <x:c r="G23" s="26"/>
      <x:c r="H23" s="26"/>
      <x:c r="I23" s="26"/>
      <x:c r="J23" s="26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</x:row>
    <x:row r="26">
      <x:c r="A26" s="127" t="str">
        <x:v>Construction-cost benchmark</x:v>
      </x:c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</x:row>
    <x:row r="27">
      <x:c r="A27" s="26" t="str">
        <x:v>Source</x:v>
      </x:c>
      <x:c r="B27" s="26" t="str">
        <x:v>Arcadis Q4 2025</x:v>
      </x:c>
      <x:c r="C27" s="26" t="str"/>
      <x:c r="D27" s="26" t="str"/>
      <x:c r="E27" s="26" t="str"/>
      <x:c r="F27" s="26" t="str"/>
      <x:c r="G27" s="26" t="str"/>
      <x:c r="H27" s="26" t="str"/>
      <x:c r="I27" s="26" t="str"/>
      <x:c r="J27" s="26" t="str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</x:row>
    <x:row r="28">
      <x:c r="A28" s="26" t="str">
        <x:v>Benchmark</x:v>
      </x:c>
      <x:c r="B28" s="26" t="str">
        <x:v>KL high-rise average-standard full fit: US$360–715/m² CFA; high-end: US$815–1,710/m² CFA; US$1=RM4.13.</x:v>
      </x:c>
      <x:c r="C28" s="26" t="str"/>
      <x:c r="D28" s="26" t="str"/>
      <x:c r="E28" s="26" t="str"/>
      <x:c r="F28" s="26" t="str"/>
      <x:c r="G28" s="26" t="str"/>
      <x:c r="H28" s="26" t="str"/>
      <x:c r="I28" s="26" t="str"/>
      <x:c r="J28" s="26" t="str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</x:row>
    <x:row r="29">
      <x:c r="A29" s="26" t="str">
        <x:v>URL</x:v>
      </x:c>
      <x:c r="B29" s="26" t="str">
        <x:v>https://media.arcadis.com/-/media/project/arcadiscom/com/perspectives/asia/publications/qcc/2025/cnhk-qcc-2025-q4.pdf</x:v>
      </x:c>
      <x:c r="C29" s="26" t="str"/>
      <x:c r="D29" s="26" t="str"/>
      <x:c r="E29" s="26" t="str"/>
      <x:c r="F29" s="26" t="str"/>
      <x:c r="G29" s="26" t="str"/>
      <x:c r="H29" s="26" t="str"/>
      <x:c r="I29" s="26" t="str"/>
      <x:c r="J29" s="26" t="str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</x:row>
  </x:sheetData>
  <x:mergeCells>
    <x:mergeCell ref="A1:J1"/>
    <x:mergeCell ref="A11:F11"/>
    <x:mergeCell ref="A26:J26"/>
    <x:mergeCell ref="B27:J27"/>
    <x:mergeCell ref="B28:J28"/>
    <x:mergeCell ref="B29:J29"/>
  </x:mergeCells>
  <x:pageMargins left="0.7" right="0.7" top="0.75" bottom="0.75" header="0.3" footer="0.3"/>
  <x:tableParts count="1">
    <x:tablePart xmlns:r="http://schemas.openxmlformats.org/officeDocument/2006/relationships" r:id="R6702383b09b4424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</x:cols>
  <x:sheetData>
    <x:row r="1">
      <x:c r="A1" s="90" t="str">
        <x:v>Residual Land Value – Scenario Model (Normalized to 1 Acre)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  <x:c r="P1" s="90"/>
      <x:c r="Q1" s="90"/>
      <x:c r="R1" s="90"/>
      <x:c r="S1" s="90"/>
      <x:c r="T1" s="90"/>
      <x:c r="U1" s="90"/>
      <x:c r="V1" s="90"/>
      <x:c r="W1" s="90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</x:row>
    <x:row r="3">
      <x:c r="A3" s="91" t="str">
        <x:v>Site</x:v>
      </x:c>
      <x:c r="B3" s="91" t="str">
        <x:v>Scenario</x:v>
      </x:c>
      <x:c r="C3" s="91" t="str">
        <x:v>Land area (sf)</x:v>
      </x:c>
      <x:c r="D3" s="91" t="str">
        <x:v>Base PR</x:v>
      </x:c>
      <x:c r="E3" s="91" t="str">
        <x:v>PR uplift</x:v>
      </x:c>
      <x:c r="F3" s="91" t="str">
        <x:v>Effective PR</x:v>
      </x:c>
      <x:c r="G3" s="91" t="str">
        <x:v>GFA (sf)</x:v>
      </x:c>
      <x:c r="H3" s="91" t="str">
        <x:v>Saleable efficiency</x:v>
      </x:c>
      <x:c r="I3" s="91" t="str">
        <x:v>Saleable area (sf)</x:v>
      </x:c>
      <x:c r="J3" s="91" t="str">
        <x:v>ASP (RM/sf)</x:v>
      </x:c>
      <x:c r="K3" s="91" t="str">
        <x:v>GDV (RM m)</x:v>
      </x:c>
      <x:c r="L3" s="91" t="str">
        <x:v>Hard cost (RM/sf GFA)</x:v>
      </x:c>
      <x:c r="M3" s="91" t="str">
        <x:v>Hard cost (RM m)</x:v>
      </x:c>
      <x:c r="N3" s="91" t="str">
        <x:v>Prof. fees (RM m)</x:v>
      </x:c>
      <x:c r="O3" s="91" t="str">
        <x:v>Contingency (RM m)</x:v>
      </x:c>
      <x:c r="P3" s="91" t="str">
        <x:v>Statutory/infra (RM m)</x:v>
      </x:c>
      <x:c r="Q3" s="91" t="str">
        <x:v>S&amp;M (RM m)</x:v>
      </x:c>
      <x:c r="R3" s="91" t="str">
        <x:v>Finance (RM m)</x:v>
      </x:c>
      <x:c r="S3" s="91" t="str">
        <x:v>Demo/relocation (RM m)</x:v>
      </x:c>
      <x:c r="T3" s="91" t="str">
        <x:v>Developer profit (RM m)</x:v>
      </x:c>
      <x:c r="U3" s="142" t="str">
        <x:v>Residual land value (RM m)</x:v>
      </x:c>
      <x:c r="V3" s="142" t="str">
        <x:v>RLV (RM/land sf)</x:v>
      </x:c>
      <x:c r="W3" s="142" t="str">
        <x:v>Breakeven ASP (RM/sf)</x:v>
      </x:c>
    </x:row>
    <x:row r="4">
      <x:c r="A4" s="26" t="str">
        <x:v>Apartmen Taman Taiping, Jalan Tandok</x:v>
      </x:c>
      <x:c r="B4" s="26" t="str">
        <x:v>Downside</x:v>
      </x:c>
      <x:c r="C4" s="132" t="n">
        <x:f>'RLV Inputs'!$B$13</x:f>
        <x:v>43560</x:v>
      </x:c>
      <x:c r="D4" s="133" t="n">
        <x:f>'RLV Inputs'!$B$4</x:f>
        <x:v>4</x:v>
      </x:c>
      <x:c r="E4" s="133" t="n">
        <x:f>'RLV Inputs'!$B$15</x:f>
        <x:v>0</x:v>
      </x:c>
      <x:c r="F4" s="134" t="n">
        <x:f>D4*(1+E4)</x:f>
        <x:v>4</x:v>
      </x:c>
      <x:c r="G4" s="135" t="n">
        <x:f>C4*F4</x:f>
        <x:v>174240</x:v>
      </x:c>
      <x:c r="H4" s="136" t="n">
        <x:f>'RLV Inputs'!$B$14</x:f>
        <x:v>0.75</x:v>
      </x:c>
      <x:c r="I4" s="135" t="n">
        <x:f>G4*H4</x:f>
        <x:v>130680</x:v>
      </x:c>
      <x:c r="J4" s="137" t="n">
        <x:f>'RLV Inputs'!$D$4</x:f>
        <x:v>900</x:v>
      </x:c>
      <x:c r="K4" s="138" t="n">
        <x:f>I4*J4/1000000</x:f>
        <x:v>117.612</x:v>
      </x:c>
      <x:c r="L4" s="139" t="n">
        <x:f>'RLV Inputs'!$G$4*'RLV Inputs'!$B$16</x:f>
        <x:v>440.00000000000006</x:v>
      </x:c>
      <x:c r="M4" s="138" t="n">
        <x:f>G4*L4/1000000</x:f>
        <x:v>76.66560000000001</x:v>
      </x:c>
      <x:c r="N4" s="138" t="n">
        <x:f>M4*'RLV Inputs'!$B$17</x:f>
        <x:v>6.133248000000001</x:v>
      </x:c>
      <x:c r="O4" s="138" t="n">
        <x:f>M4*'RLV Inputs'!$B$18</x:f>
        <x:v>3.8332800000000007</x:v>
      </x:c>
      <x:c r="P4" s="138" t="n">
        <x:f>K4*'RLV Inputs'!$B$19</x:f>
        <x:v>3.5283599999999997</x:v>
      </x:c>
      <x:c r="Q4" s="138" t="n">
        <x:f>K4*'RLV Inputs'!$B$20</x:f>
        <x:v>3.5283599999999997</x:v>
      </x:c>
      <x:c r="R4" s="138" t="n">
        <x:f>K4*'RLV Inputs'!$B$21</x:f>
        <x:v>5.8806</x:v>
      </x:c>
      <x:c r="S4" s="138" t="n">
        <x:f>K4*'RLV Inputs'!$B$22</x:f>
        <x:v>2.35224</x:v>
      </x:c>
      <x:c r="T4" s="138" t="n">
        <x:f>K4*'RLV Inputs'!$B$23</x:f>
        <x:v>25.87464</x:v>
      </x:c>
      <x:c r="U4" s="138" t="n">
        <x:f>K4-SUM(M4:T4)</x:f>
        <x:v>-10.184328000000022</x:v>
      </x:c>
      <x:c r="V4" s="140" t="n">
        <x:f>U4*1000000/C4</x:f>
        <x:v>-233.80000000000052</x:v>
      </x:c>
      <x:c r="W4" s="140" t="n">
        <x:f>(M4+N4+O4)*1000000/I4/(1-'RLV Inputs'!$B$19-'RLV Inputs'!$B$20-'RLV Inputs'!$B$21-'RLV Inputs'!$B$22-'RLV Inputs'!$B$23)</x:f>
        <x:v>1019.8974358974361</x:v>
      </x:c>
    </x:row>
    <x:row r="5">
      <x:c r="A5" s="26" t="str">
        <x:v>Apartmen Taman Taiping, Jalan Tandok</x:v>
      </x:c>
      <x:c r="B5" s="26" t="str">
        <x:v>Base</x:v>
      </x:c>
      <x:c r="C5" s="132" t="n">
        <x:f>'RLV Inputs'!$C$13</x:f>
        <x:v>43560</x:v>
      </x:c>
      <x:c r="D5" s="133" t="n">
        <x:f>'RLV Inputs'!$B$4</x:f>
        <x:v>4</x:v>
      </x:c>
      <x:c r="E5" s="133" t="n">
        <x:f>'RLV Inputs'!$C$15</x:f>
        <x:v>0</x:v>
      </x:c>
      <x:c r="F5" s="134" t="n">
        <x:f>D5*(1+E5)</x:f>
        <x:v>4</x:v>
      </x:c>
      <x:c r="G5" s="135" t="n">
        <x:f>C5*F5</x:f>
        <x:v>174240</x:v>
      </x:c>
      <x:c r="H5" s="136" t="n">
        <x:f>'RLV Inputs'!$C$14</x:f>
        <x:v>0.78</x:v>
      </x:c>
      <x:c r="I5" s="135" t="n">
        <x:f>G5*H5</x:f>
        <x:v>135907.2</x:v>
      </x:c>
      <x:c r="J5" s="137" t="n">
        <x:f>'RLV Inputs'!$E$4</x:f>
        <x:v>1100</x:v>
      </x:c>
      <x:c r="K5" s="138" t="n">
        <x:f>I5*J5/1000000</x:f>
        <x:v>149.49792</x:v>
      </x:c>
      <x:c r="L5" s="139" t="n">
        <x:f>'RLV Inputs'!$G$4*'RLV Inputs'!$C$16</x:f>
        <x:v>400</x:v>
      </x:c>
      <x:c r="M5" s="138" t="n">
        <x:f>G5*L5/1000000</x:f>
        <x:v>69.696</x:v>
      </x:c>
      <x:c r="N5" s="138" t="n">
        <x:f>M5*'RLV Inputs'!$C$17</x:f>
        <x:v>5.57568</x:v>
      </x:c>
      <x:c r="O5" s="138" t="n">
        <x:f>M5*'RLV Inputs'!$C$18</x:f>
        <x:v>3.4848</x:v>
      </x:c>
      <x:c r="P5" s="138" t="n">
        <x:f>K5*'RLV Inputs'!$C$19</x:f>
        <x:v>4.484937599999999</x:v>
      </x:c>
      <x:c r="Q5" s="138" t="n">
        <x:f>K5*'RLV Inputs'!$C$20</x:f>
        <x:v>4.484937599999999</x:v>
      </x:c>
      <x:c r="R5" s="138" t="n">
        <x:f>K5*'RLV Inputs'!$C$21</x:f>
        <x:v>7.474896</x:v>
      </x:c>
      <x:c r="S5" s="138" t="n">
        <x:f>K5*'RLV Inputs'!$C$22</x:f>
        <x:v>2.9899584</x:v>
      </x:c>
      <x:c r="T5" s="138" t="n">
        <x:f>K5*'RLV Inputs'!$C$23</x:f>
        <x:v>29.899584</x:v>
      </x:c>
      <x:c r="U5" s="138" t="n">
        <x:f>K5-SUM(M5:T5)</x:f>
        <x:v>21.40712639999998</x:v>
      </x:c>
      <x:c r="V5" s="140" t="n">
        <x:f>U5*1000000/C5</x:f>
        <x:v>491.43999999999954</x:v>
      </x:c>
      <x:c r="W5" s="140" t="n">
        <x:f>(M5+N5+O5)*1000000/I5/(1-'RLV Inputs'!$C$19-'RLV Inputs'!$C$20-'RLV Inputs'!$C$21-'RLV Inputs'!$C$22-'RLV Inputs'!$C$23)</x:f>
        <x:v>864.9062380405666</x:v>
      </x:c>
    </x:row>
    <x:row r="6">
      <x:c r="A6" s="26" t="str">
        <x:v>Apartmen Taman Taiping, Jalan Tandok</x:v>
      </x:c>
      <x:c r="B6" s="26" t="str">
        <x:v>Upside</x:v>
      </x:c>
      <x:c r="C6" s="132" t="n">
        <x:f>'RLV Inputs'!$D$13</x:f>
        <x:v>43560</x:v>
      </x:c>
      <x:c r="D6" s="133" t="n">
        <x:f>'RLV Inputs'!$B$4</x:f>
        <x:v>4</x:v>
      </x:c>
      <x:c r="E6" s="133" t="n">
        <x:f>'RLV Inputs'!$D$15</x:f>
        <x:v>0.25</x:v>
      </x:c>
      <x:c r="F6" s="134" t="n">
        <x:f>D6*(1+E6)</x:f>
        <x:v>5</x:v>
      </x:c>
      <x:c r="G6" s="135" t="n">
        <x:f>C6*F6</x:f>
        <x:v>217800</x:v>
      </x:c>
      <x:c r="H6" s="136" t="n">
        <x:f>'RLV Inputs'!$D$14</x:f>
        <x:v>0.8</x:v>
      </x:c>
      <x:c r="I6" s="135" t="n">
        <x:f>G6*H6</x:f>
        <x:v>174240</x:v>
      </x:c>
      <x:c r="J6" s="137" t="n">
        <x:f>'RLV Inputs'!$F$4</x:f>
        <x:v>1250</x:v>
      </x:c>
      <x:c r="K6" s="138" t="n">
        <x:f>I6*J6/1000000</x:f>
        <x:v>217.8</x:v>
      </x:c>
      <x:c r="L6" s="139" t="n">
        <x:f>'RLV Inputs'!$G$4*'RLV Inputs'!$D$16</x:f>
        <x:v>380</x:v>
      </x:c>
      <x:c r="M6" s="138" t="n">
        <x:f>G6*L6/1000000</x:f>
        <x:v>82.764</x:v>
      </x:c>
      <x:c r="N6" s="138" t="n">
        <x:f>M6*'RLV Inputs'!$D$17</x:f>
        <x:v>6.6211199999999995</x:v>
      </x:c>
      <x:c r="O6" s="138" t="n">
        <x:f>M6*'RLV Inputs'!$D$18</x:f>
        <x:v>4.1382</x:v>
      </x:c>
      <x:c r="P6" s="138" t="n">
        <x:f>K6*'RLV Inputs'!$D$19</x:f>
        <x:v>6.534</x:v>
      </x:c>
      <x:c r="Q6" s="138" t="n">
        <x:f>K6*'RLV Inputs'!$D$20</x:f>
        <x:v>6.534</x:v>
      </x:c>
      <x:c r="R6" s="138" t="n">
        <x:f>K6*'RLV Inputs'!$D$21</x:f>
        <x:v>10.89</x:v>
      </x:c>
      <x:c r="S6" s="138" t="n">
        <x:f>K6*'RLV Inputs'!$D$22</x:f>
        <x:v>4.356000000000001</x:v>
      </x:c>
      <x:c r="T6" s="138" t="n">
        <x:f>K6*'RLV Inputs'!$D$23</x:f>
        <x:v>39.204</x:v>
      </x:c>
      <x:c r="U6" s="138" t="n">
        <x:f>K6-SUM(M6:T6)</x:f>
        <x:v>56.75868</x:v>
      </x:c>
      <x:c r="V6" s="140" t="n">
        <x:f>U6*1000000/C6</x:f>
        <x:v>1303</x:v>
      </x:c>
      <x:c r="W6" s="140" t="n">
        <x:f>(M6+N6+O6)*1000000/I6/(1-'RLV Inputs'!$D$19-'RLV Inputs'!$D$20-'RLV Inputs'!$D$21-'RLV Inputs'!$D$22-'RLV Inputs'!$D$23)</x:f>
        <x:v>777.8985507246377</x:v>
      </x:c>
    </x:row>
    <x:row r="7">
      <x:c r="A7" s="26" t="str">
        <x:v>Perumahan Jalan Jujur &amp; Jalan Ikhlas</x:v>
      </x:c>
      <x:c r="B7" s="26" t="str">
        <x:v>Downside</x:v>
      </x:c>
      <x:c r="C7" s="132" t="n">
        <x:f>'RLV Inputs'!$B$13</x:f>
        <x:v>43560</x:v>
      </x:c>
      <x:c r="D7" s="133" t="n">
        <x:f>'RLV Inputs'!$B$5</x:f>
        <x:v>3.5</x:v>
      </x:c>
      <x:c r="E7" s="133" t="n">
        <x:f>'RLV Inputs'!$B$15</x:f>
        <x:v>0</x:v>
      </x:c>
      <x:c r="F7" s="134" t="n">
        <x:f>D7*(1+E7)</x:f>
        <x:v>3.5</x:v>
      </x:c>
      <x:c r="G7" s="135" t="n">
        <x:f>C7*F7</x:f>
        <x:v>152460</x:v>
      </x:c>
      <x:c r="H7" s="136" t="n">
        <x:f>'RLV Inputs'!$B$14</x:f>
        <x:v>0.75</x:v>
      </x:c>
      <x:c r="I7" s="135" t="n">
        <x:f>G7*H7</x:f>
        <x:v>114345</x:v>
      </x:c>
      <x:c r="J7" s="137" t="n">
        <x:f>'RLV Inputs'!$D$5</x:f>
        <x:v>450</x:v>
      </x:c>
      <x:c r="K7" s="138" t="n">
        <x:f>I7*J7/1000000</x:f>
        <x:v>51.45525</x:v>
      </x:c>
      <x:c r="L7" s="139" t="n">
        <x:f>'RLV Inputs'!$G$5*'RLV Inputs'!$B$16</x:f>
        <x:v>308</x:v>
      </x:c>
      <x:c r="M7" s="138" t="n">
        <x:f>G7*L7/1000000</x:f>
        <x:v>46.95768</x:v>
      </x:c>
      <x:c r="N7" s="138" t="n">
        <x:f>M7*'RLV Inputs'!$B$17</x:f>
        <x:v>3.7566144</x:v>
      </x:c>
      <x:c r="O7" s="138" t="n">
        <x:f>M7*'RLV Inputs'!$B$18</x:f>
        <x:v>2.347884</x:v>
      </x:c>
      <x:c r="P7" s="138" t="n">
        <x:f>K7*'RLV Inputs'!$B$19</x:f>
        <x:v>1.5436575</x:v>
      </x:c>
      <x:c r="Q7" s="138" t="n">
        <x:f>K7*'RLV Inputs'!$B$20</x:f>
        <x:v>1.5436575</x:v>
      </x:c>
      <x:c r="R7" s="138" t="n">
        <x:f>K7*'RLV Inputs'!$B$21</x:f>
        <x:v>2.5727625</x:v>
      </x:c>
      <x:c r="S7" s="138" t="n">
        <x:f>K7*'RLV Inputs'!$B$22</x:f>
        <x:v>1.029105</x:v>
      </x:c>
      <x:c r="T7" s="138" t="n">
        <x:f>K7*'RLV Inputs'!$B$23</x:f>
        <x:v>11.320155</x:v>
      </x:c>
      <x:c r="U7" s="138" t="n">
        <x:f>K7-SUM(M7:T7)</x:f>
        <x:v>-19.61626590000001</x:v>
      </x:c>
      <x:c r="V7" s="140" t="n">
        <x:f>U7*1000000/C7</x:f>
        <x:v>-450.3275000000002</x:v>
      </x:c>
      <x:c r="W7" s="140" t="n">
        <x:f>(M7+N7+O7)*1000000/I7/(1-'RLV Inputs'!$B$19-'RLV Inputs'!$B$20-'RLV Inputs'!$B$21-'RLV Inputs'!$B$22-'RLV Inputs'!$B$23)</x:f>
        <x:v>713.9282051282053</x:v>
      </x:c>
    </x:row>
    <x:row r="8">
      <x:c r="A8" s="26" t="str">
        <x:v>Perumahan Jalan Jujur &amp; Jalan Ikhlas</x:v>
      </x:c>
      <x:c r="B8" s="26" t="str">
        <x:v>Base</x:v>
      </x:c>
      <x:c r="C8" s="132" t="n">
        <x:f>'RLV Inputs'!$C$13</x:f>
        <x:v>43560</x:v>
      </x:c>
      <x:c r="D8" s="133" t="n">
        <x:f>'RLV Inputs'!$B$5</x:f>
        <x:v>3.5</x:v>
      </x:c>
      <x:c r="E8" s="133" t="n">
        <x:f>'RLV Inputs'!$C$15</x:f>
        <x:v>0</x:v>
      </x:c>
      <x:c r="F8" s="134" t="n">
        <x:f>D8*(1+E8)</x:f>
        <x:v>3.5</x:v>
      </x:c>
      <x:c r="G8" s="135" t="n">
        <x:f>C8*F8</x:f>
        <x:v>152460</x:v>
      </x:c>
      <x:c r="H8" s="136" t="n">
        <x:f>'RLV Inputs'!$C$14</x:f>
        <x:v>0.78</x:v>
      </x:c>
      <x:c r="I8" s="135" t="n">
        <x:f>G8*H8</x:f>
        <x:v>118918.8</x:v>
      </x:c>
      <x:c r="J8" s="137" t="n">
        <x:f>'RLV Inputs'!$E$5</x:f>
        <x:v>550</x:v>
      </x:c>
      <x:c r="K8" s="138" t="n">
        <x:f>I8*J8/1000000</x:f>
        <x:v>65.40534</x:v>
      </x:c>
      <x:c r="L8" s="139" t="n">
        <x:f>'RLV Inputs'!$G$5*'RLV Inputs'!$C$16</x:f>
        <x:v>280</x:v>
      </x:c>
      <x:c r="M8" s="138" t="n">
        <x:f>G8*L8/1000000</x:f>
        <x:v>42.6888</x:v>
      </x:c>
      <x:c r="N8" s="138" t="n">
        <x:f>M8*'RLV Inputs'!$C$17</x:f>
        <x:v>3.415104</x:v>
      </x:c>
      <x:c r="O8" s="138" t="n">
        <x:f>M8*'RLV Inputs'!$C$18</x:f>
        <x:v>2.13444</x:v>
      </x:c>
      <x:c r="P8" s="138" t="n">
        <x:f>K8*'RLV Inputs'!$C$19</x:f>
        <x:v>1.9621601999999998</x:v>
      </x:c>
      <x:c r="Q8" s="138" t="n">
        <x:f>K8*'RLV Inputs'!$C$20</x:f>
        <x:v>1.9621601999999998</x:v>
      </x:c>
      <x:c r="R8" s="138" t="n">
        <x:f>K8*'RLV Inputs'!$C$21</x:f>
        <x:v>3.270267</x:v>
      </x:c>
      <x:c r="S8" s="138" t="n">
        <x:f>K8*'RLV Inputs'!$C$22</x:f>
        <x:v>1.3081068</x:v>
      </x:c>
      <x:c r="T8" s="138" t="n">
        <x:f>K8*'RLV Inputs'!$C$23</x:f>
        <x:v>13.081068</x:v>
      </x:c>
      <x:c r="U8" s="138" t="n">
        <x:f>K8-SUM(M8:T8)</x:f>
        <x:v>-4.416766199999998</x:v>
      </x:c>
      <x:c r="V8" s="140" t="n">
        <x:f>U8*1000000/C8</x:f>
        <x:v>-101.39499999999997</x:v>
      </x:c>
      <x:c r="W8" s="140" t="n">
        <x:f>(M8+N8+O8)*1000000/I8/(1-'RLV Inputs'!$C$19-'RLV Inputs'!$C$20-'RLV Inputs'!$C$21-'RLV Inputs'!$C$22-'RLV Inputs'!$C$23)</x:f>
        <x:v>605.4343666283966</x:v>
      </x:c>
    </x:row>
    <x:row r="9">
      <x:c r="A9" s="26" t="str">
        <x:v>Perumahan Jalan Jujur &amp; Jalan Ikhlas</x:v>
      </x:c>
      <x:c r="B9" s="26" t="str">
        <x:v>Upside</x:v>
      </x:c>
      <x:c r="C9" s="132" t="n">
        <x:f>'RLV Inputs'!$D$13</x:f>
        <x:v>43560</x:v>
      </x:c>
      <x:c r="D9" s="133" t="n">
        <x:f>'RLV Inputs'!$B$5</x:f>
        <x:v>3.5</x:v>
      </x:c>
      <x:c r="E9" s="133" t="n">
        <x:f>'RLV Inputs'!$D$15</x:f>
        <x:v>0.25</x:v>
      </x:c>
      <x:c r="F9" s="134" t="n">
        <x:f>D9*(1+E9)</x:f>
        <x:v>4.375</x:v>
      </x:c>
      <x:c r="G9" s="135" t="n">
        <x:f>C9*F9</x:f>
        <x:v>190575</x:v>
      </x:c>
      <x:c r="H9" s="136" t="n">
        <x:f>'RLV Inputs'!$D$14</x:f>
        <x:v>0.8</x:v>
      </x:c>
      <x:c r="I9" s="135" t="n">
        <x:f>G9*H9</x:f>
        <x:v>152460</x:v>
      </x:c>
      <x:c r="J9" s="137" t="n">
        <x:f>'RLV Inputs'!$F$5</x:f>
        <x:v>650</x:v>
      </x:c>
      <x:c r="K9" s="138" t="n">
        <x:f>I9*J9/1000000</x:f>
        <x:v>99.099</x:v>
      </x:c>
      <x:c r="L9" s="139" t="n">
        <x:f>'RLV Inputs'!$G$5*'RLV Inputs'!$D$16</x:f>
        <x:v>266</x:v>
      </x:c>
      <x:c r="M9" s="138" t="n">
        <x:f>G9*L9/1000000</x:f>
        <x:v>50.69295</x:v>
      </x:c>
      <x:c r="N9" s="138" t="n">
        <x:f>M9*'RLV Inputs'!$D$17</x:f>
        <x:v>4.055436</x:v>
      </x:c>
      <x:c r="O9" s="138" t="n">
        <x:f>M9*'RLV Inputs'!$D$18</x:f>
        <x:v>2.5346475</x:v>
      </x:c>
      <x:c r="P9" s="138" t="n">
        <x:f>K9*'RLV Inputs'!$D$19</x:f>
        <x:v>2.97297</x:v>
      </x:c>
      <x:c r="Q9" s="138" t="n">
        <x:f>K9*'RLV Inputs'!$D$20</x:f>
        <x:v>2.97297</x:v>
      </x:c>
      <x:c r="R9" s="138" t="n">
        <x:f>K9*'RLV Inputs'!$D$21</x:f>
        <x:v>4.95495</x:v>
      </x:c>
      <x:c r="S9" s="138" t="n">
        <x:f>K9*'RLV Inputs'!$D$22</x:f>
        <x:v>1.98198</x:v>
      </x:c>
      <x:c r="T9" s="138" t="n">
        <x:f>K9*'RLV Inputs'!$D$23</x:f>
        <x:v>17.83782</x:v>
      </x:c>
      <x:c r="U9" s="138" t="n">
        <x:f>K9-SUM(M9:T9)</x:f>
        <x:v>11.095276499999997</x:v>
      </x:c>
      <x:c r="V9" s="140" t="n">
        <x:f>U9*1000000/C9</x:f>
        <x:v>254.71249999999992</x:v>
      </x:c>
      <x:c r="W9" s="140" t="n">
        <x:f>(M9+N9+O9)*1000000/I9/(1-'RLV Inputs'!$D$19-'RLV Inputs'!$D$20-'RLV Inputs'!$D$21-'RLV Inputs'!$D$22-'RLV Inputs'!$D$23)</x:f>
        <x:v>544.5289855072465</x:v>
      </x:c>
    </x:row>
    <x:row r="10">
      <x:c r="A10" s="26" t="str">
        <x:v>Perumahan Kluster Jalan Rejang</x:v>
      </x:c>
      <x:c r="B10" s="26" t="str">
        <x:v>Downside</x:v>
      </x:c>
      <x:c r="C10" s="132" t="n">
        <x:f>'RLV Inputs'!$B$13</x:f>
        <x:v>43560</x:v>
      </x:c>
      <x:c r="D10" s="133" t="n">
        <x:f>'RLV Inputs'!$B$6</x:f>
        <x:v>3.5</x:v>
      </x:c>
      <x:c r="E10" s="133" t="n">
        <x:f>'RLV Inputs'!$B$15</x:f>
        <x:v>0</x:v>
      </x:c>
      <x:c r="F10" s="134" t="n">
        <x:f>D10*(1+E10)</x:f>
        <x:v>3.5</x:v>
      </x:c>
      <x:c r="G10" s="135" t="n">
        <x:f>C10*F10</x:f>
        <x:v>152460</x:v>
      </x:c>
      <x:c r="H10" s="136" t="n">
        <x:f>'RLV Inputs'!$B$14</x:f>
        <x:v>0.75</x:v>
      </x:c>
      <x:c r="I10" s="135" t="n">
        <x:f>G10*H10</x:f>
        <x:v>114345</x:v>
      </x:c>
      <x:c r="J10" s="137" t="n">
        <x:f>'RLV Inputs'!$D$6</x:f>
        <x:v>500</x:v>
      </x:c>
      <x:c r="K10" s="138" t="n">
        <x:f>I10*J10/1000000</x:f>
        <x:v>57.1725</x:v>
      </x:c>
      <x:c r="L10" s="139" t="n">
        <x:f>'RLV Inputs'!$G$6*'RLV Inputs'!$B$16</x:f>
        <x:v>319</x:v>
      </x:c>
      <x:c r="M10" s="138" t="n">
        <x:f>G10*L10/1000000</x:f>
        <x:v>48.63474</x:v>
      </x:c>
      <x:c r="N10" s="138" t="n">
        <x:f>M10*'RLV Inputs'!$B$17</x:f>
        <x:v>3.8907792000000003</x:v>
      </x:c>
      <x:c r="O10" s="138" t="n">
        <x:f>M10*'RLV Inputs'!$B$18</x:f>
        <x:v>2.431737</x:v>
      </x:c>
      <x:c r="P10" s="138" t="n">
        <x:f>K10*'RLV Inputs'!$B$19</x:f>
        <x:v>1.715175</x:v>
      </x:c>
      <x:c r="Q10" s="138" t="n">
        <x:f>K10*'RLV Inputs'!$B$20</x:f>
        <x:v>1.715175</x:v>
      </x:c>
      <x:c r="R10" s="138" t="n">
        <x:f>K10*'RLV Inputs'!$B$21</x:f>
        <x:v>2.858625</x:v>
      </x:c>
      <x:c r="S10" s="138" t="n">
        <x:f>K10*'RLV Inputs'!$B$22</x:f>
        <x:v>1.14345</x:v>
      </x:c>
      <x:c r="T10" s="138" t="n">
        <x:f>K10*'RLV Inputs'!$B$23</x:f>
        <x:v>12.57795</x:v>
      </x:c>
      <x:c r="U10" s="138" t="n">
        <x:f>K10-SUM(M10:T10)</x:f>
        <x:v>-17.7951312</x:v>
      </x:c>
      <x:c r="V10" s="140" t="n">
        <x:f>U10*1000000/C10</x:f>
        <x:v>-408.52</x:v>
      </x:c>
      <x:c r="W10" s="140" t="n">
        <x:f>(M10+N10+O10)*1000000/I10/(1-'RLV Inputs'!$B$19-'RLV Inputs'!$B$20-'RLV Inputs'!$B$21-'RLV Inputs'!$B$22-'RLV Inputs'!$B$23)</x:f>
        <x:v>739.4256410256411</x:v>
      </x:c>
    </x:row>
    <x:row r="11">
      <x:c r="A11" s="26" t="str">
        <x:v>Perumahan Kluster Jalan Rejang</x:v>
      </x:c>
      <x:c r="B11" s="26" t="str">
        <x:v>Base</x:v>
      </x:c>
      <x:c r="C11" s="132" t="n">
        <x:f>'RLV Inputs'!$C$13</x:f>
        <x:v>43560</x:v>
      </x:c>
      <x:c r="D11" s="133" t="n">
        <x:f>'RLV Inputs'!$B$6</x:f>
        <x:v>3.5</x:v>
      </x:c>
      <x:c r="E11" s="133" t="n">
        <x:f>'RLV Inputs'!$C$15</x:f>
        <x:v>0</x:v>
      </x:c>
      <x:c r="F11" s="134" t="n">
        <x:f>D11*(1+E11)</x:f>
        <x:v>3.5</x:v>
      </x:c>
      <x:c r="G11" s="135" t="n">
        <x:f>C11*F11</x:f>
        <x:v>152460</x:v>
      </x:c>
      <x:c r="H11" s="136" t="n">
        <x:f>'RLV Inputs'!$C$14</x:f>
        <x:v>0.78</x:v>
      </x:c>
      <x:c r="I11" s="135" t="n">
        <x:f>G11*H11</x:f>
        <x:v>118918.8</x:v>
      </x:c>
      <x:c r="J11" s="137" t="n">
        <x:f>'RLV Inputs'!$E$6</x:f>
        <x:v>600</x:v>
      </x:c>
      <x:c r="K11" s="138" t="n">
        <x:f>I11*J11/1000000</x:f>
        <x:v>71.35128</x:v>
      </x:c>
      <x:c r="L11" s="139" t="n">
        <x:f>'RLV Inputs'!$G$6*'RLV Inputs'!$C$16</x:f>
        <x:v>290</x:v>
      </x:c>
      <x:c r="M11" s="138" t="n">
        <x:f>G11*L11/1000000</x:f>
        <x:v>44.2134</x:v>
      </x:c>
      <x:c r="N11" s="138" t="n">
        <x:f>M11*'RLV Inputs'!$C$17</x:f>
        <x:v>3.537072</x:v>
      </x:c>
      <x:c r="O11" s="138" t="n">
        <x:f>M11*'RLV Inputs'!$C$18</x:f>
        <x:v>2.21067</x:v>
      </x:c>
      <x:c r="P11" s="138" t="n">
        <x:f>K11*'RLV Inputs'!$C$19</x:f>
        <x:v>2.1405384</x:v>
      </x:c>
      <x:c r="Q11" s="138" t="n">
        <x:f>K11*'RLV Inputs'!$C$20</x:f>
        <x:v>2.1405384</x:v>
      </x:c>
      <x:c r="R11" s="138" t="n">
        <x:f>K11*'RLV Inputs'!$C$21</x:f>
        <x:v>3.5675640000000004</x:v>
      </x:c>
      <x:c r="S11" s="138" t="n">
        <x:f>K11*'RLV Inputs'!$C$22</x:f>
        <x:v>1.4270256000000001</x:v>
      </x:c>
      <x:c r="T11" s="138" t="n">
        <x:f>K11*'RLV Inputs'!$C$23</x:f>
        <x:v>14.270256000000002</x:v>
      </x:c>
      <x:c r="U11" s="138" t="n">
        <x:f>K11-SUM(M11:T11)</x:f>
        <x:v>-2.1557843999999875</x:v>
      </x:c>
      <x:c r="V11" s="140" t="n">
        <x:f>U11*1000000/C11</x:f>
        <x:v>-49.48999999999971</x:v>
      </x:c>
      <x:c r="W11" s="140" t="n">
        <x:f>(M11+N11+O11)*1000000/I11/(1-'RLV Inputs'!$C$19-'RLV Inputs'!$C$20-'RLV Inputs'!$C$21-'RLV Inputs'!$C$22-'RLV Inputs'!$C$23)</x:f>
        <x:v>627.0570225794107</x:v>
      </x:c>
    </x:row>
    <x:row r="12">
      <x:c r="A12" s="26" t="str">
        <x:v>Perumahan Kluster Jalan Rejang</x:v>
      </x:c>
      <x:c r="B12" s="26" t="str">
        <x:v>Upside</x:v>
      </x:c>
      <x:c r="C12" s="132" t="n">
        <x:f>'RLV Inputs'!$D$13</x:f>
        <x:v>43560</x:v>
      </x:c>
      <x:c r="D12" s="133" t="n">
        <x:f>'RLV Inputs'!$B$6</x:f>
        <x:v>3.5</x:v>
      </x:c>
      <x:c r="E12" s="133" t="n">
        <x:f>'RLV Inputs'!$D$15</x:f>
        <x:v>0.25</x:v>
      </x:c>
      <x:c r="F12" s="134" t="n">
        <x:f>D12*(1+E12)</x:f>
        <x:v>4.375</x:v>
      </x:c>
      <x:c r="G12" s="135" t="n">
        <x:f>C12*F12</x:f>
        <x:v>190575</x:v>
      </x:c>
      <x:c r="H12" s="136" t="n">
        <x:f>'RLV Inputs'!$D$14</x:f>
        <x:v>0.8</x:v>
      </x:c>
      <x:c r="I12" s="135" t="n">
        <x:f>G12*H12</x:f>
        <x:v>152460</x:v>
      </x:c>
      <x:c r="J12" s="137" t="n">
        <x:f>'RLV Inputs'!$F$6</x:f>
        <x:v>700</x:v>
      </x:c>
      <x:c r="K12" s="138" t="n">
        <x:f>I12*J12/1000000</x:f>
        <x:v>106.722</x:v>
      </x:c>
      <x:c r="L12" s="139" t="n">
        <x:f>'RLV Inputs'!$G$6*'RLV Inputs'!$D$16</x:f>
        <x:v>275.5</x:v>
      </x:c>
      <x:c r="M12" s="138" t="n">
        <x:f>G12*L12/1000000</x:f>
        <x:v>52.5034125</x:v>
      </x:c>
      <x:c r="N12" s="138" t="n">
        <x:f>M12*'RLV Inputs'!$D$17</x:f>
        <x:v>4.200273</x:v>
      </x:c>
      <x:c r="O12" s="138" t="n">
        <x:f>M12*'RLV Inputs'!$D$18</x:f>
        <x:v>2.6251706250000004</x:v>
      </x:c>
      <x:c r="P12" s="138" t="n">
        <x:f>K12*'RLV Inputs'!$D$19</x:f>
        <x:v>3.2016599999999995</x:v>
      </x:c>
      <x:c r="Q12" s="138" t="n">
        <x:f>K12*'RLV Inputs'!$D$20</x:f>
        <x:v>3.2016599999999995</x:v>
      </x:c>
      <x:c r="R12" s="138" t="n">
        <x:f>K12*'RLV Inputs'!$D$21</x:f>
        <x:v>5.3361</x:v>
      </x:c>
      <x:c r="S12" s="138" t="n">
        <x:f>K12*'RLV Inputs'!$D$22</x:f>
        <x:v>2.13444</x:v>
      </x:c>
      <x:c r="T12" s="138" t="n">
        <x:f>K12*'RLV Inputs'!$D$23</x:f>
        <x:v>19.20996</x:v>
      </x:c>
      <x:c r="U12" s="138" t="n">
        <x:f>K12-SUM(M12:T12)</x:f>
        <x:v>14.30932387499999</x:v>
      </x:c>
      <x:c r="V12" s="140" t="n">
        <x:f>U12*1000000/C12</x:f>
        <x:v>328.49687499999976</x:v>
      </x:c>
      <x:c r="W12" s="140" t="n">
        <x:f>(M12+N12+O12)*1000000/I12/(1-'RLV Inputs'!$D$19-'RLV Inputs'!$D$20-'RLV Inputs'!$D$21-'RLV Inputs'!$D$22-'RLV Inputs'!$D$23)</x:f>
        <x:v>563.9764492753625</x:v>
      </x:c>
    </x:row>
    <x:row r="13">
      <x:c r="A13" s="26" t="str">
        <x:v>Kampung Datuk Keramat</x:v>
      </x:c>
      <x:c r="B13" s="26" t="str">
        <x:v>Downside</x:v>
      </x:c>
      <x:c r="C13" s="132" t="n">
        <x:f>'RLV Inputs'!$B$13</x:f>
        <x:v>43560</x:v>
      </x:c>
      <x:c r="D13" s="133" t="n">
        <x:f>'RLV Inputs'!$B$7</x:f>
        <x:v>3</x:v>
      </x:c>
      <x:c r="E13" s="133" t="n">
        <x:f>'RLV Inputs'!$B$15</x:f>
        <x:v>0</x:v>
      </x:c>
      <x:c r="F13" s="134" t="n">
        <x:f>D13*(1+E13)</x:f>
        <x:v>3</x:v>
      </x:c>
      <x:c r="G13" s="135" t="n">
        <x:f>C13*F13</x:f>
        <x:v>130680</x:v>
      </x:c>
      <x:c r="H13" s="136" t="n">
        <x:f>'RLV Inputs'!$B$14</x:f>
        <x:v>0.75</x:v>
      </x:c>
      <x:c r="I13" s="135" t="n">
        <x:f>G13*H13</x:f>
        <x:v>98010</x:v>
      </x:c>
      <x:c r="J13" s="137" t="n">
        <x:f>'RLV Inputs'!$D$7</x:f>
        <x:v>700</x:v>
      </x:c>
      <x:c r="K13" s="138" t="n">
        <x:f>I13*J13/1000000</x:f>
        <x:v>68.607</x:v>
      </x:c>
      <x:c r="L13" s="139" t="n">
        <x:f>'RLV Inputs'!$G$7*'RLV Inputs'!$B$16</x:f>
        <x:v>385.00000000000006</x:v>
      </x:c>
      <x:c r="M13" s="138" t="n">
        <x:f>G13*L13/1000000</x:f>
        <x:v>50.311800000000005</x:v>
      </x:c>
      <x:c r="N13" s="138" t="n">
        <x:f>M13*'RLV Inputs'!$B$17</x:f>
        <x:v>4.0249440000000005</x:v>
      </x:c>
      <x:c r="O13" s="138" t="n">
        <x:f>M13*'RLV Inputs'!$B$18</x:f>
        <x:v>2.5155900000000004</x:v>
      </x:c>
      <x:c r="P13" s="138" t="n">
        <x:f>K13*'RLV Inputs'!$B$19</x:f>
        <x:v>2.05821</x:v>
      </x:c>
      <x:c r="Q13" s="138" t="n">
        <x:f>K13*'RLV Inputs'!$B$20</x:f>
        <x:v>2.05821</x:v>
      </x:c>
      <x:c r="R13" s="138" t="n">
        <x:f>K13*'RLV Inputs'!$B$21</x:f>
        <x:v>3.4303500000000002</x:v>
      </x:c>
      <x:c r="S13" s="138" t="n">
        <x:f>K13*'RLV Inputs'!$B$22</x:f>
        <x:v>1.37214</x:v>
      </x:c>
      <x:c r="T13" s="138" t="n">
        <x:f>K13*'RLV Inputs'!$B$23</x:f>
        <x:v>15.093539999999999</x:v>
      </x:c>
      <x:c r="U13" s="138" t="n">
        <x:f>K13-SUM(M13:T13)</x:f>
        <x:v>-12.257784000000015</x:v>
      </x:c>
      <x:c r="V13" s="140" t="n">
        <x:f>U13*1000000/C13</x:f>
        <x:v>-281.4000000000003</x:v>
      </x:c>
      <x:c r="W13" s="140" t="n">
        <x:f>(M13+N13+O13)*1000000/I13/(1-'RLV Inputs'!$B$19-'RLV Inputs'!$B$20-'RLV Inputs'!$B$21-'RLV Inputs'!$B$22-'RLV Inputs'!$B$23)</x:f>
        <x:v>892.4102564102566</x:v>
      </x:c>
    </x:row>
    <x:row r="14">
      <x:c r="A14" s="26" t="str">
        <x:v>Kampung Datuk Keramat</x:v>
      </x:c>
      <x:c r="B14" s="26" t="str">
        <x:v>Base</x:v>
      </x:c>
      <x:c r="C14" s="132" t="n">
        <x:f>'RLV Inputs'!$C$13</x:f>
        <x:v>43560</x:v>
      </x:c>
      <x:c r="D14" s="133" t="n">
        <x:f>'RLV Inputs'!$B$7</x:f>
        <x:v>3</x:v>
      </x:c>
      <x:c r="E14" s="133" t="n">
        <x:f>'RLV Inputs'!$C$15</x:f>
        <x:v>0</x:v>
      </x:c>
      <x:c r="F14" s="134" t="n">
        <x:f>D14*(1+E14)</x:f>
        <x:v>3</x:v>
      </x:c>
      <x:c r="G14" s="135" t="n">
        <x:f>C14*F14</x:f>
        <x:v>130680</x:v>
      </x:c>
      <x:c r="H14" s="136" t="n">
        <x:f>'RLV Inputs'!$C$14</x:f>
        <x:v>0.78</x:v>
      </x:c>
      <x:c r="I14" s="135" t="n">
        <x:f>G14*H14</x:f>
        <x:v>101930.40000000001</x:v>
      </x:c>
      <x:c r="J14" s="137" t="n">
        <x:f>'RLV Inputs'!$E$7</x:f>
        <x:v>850</x:v>
      </x:c>
      <x:c r="K14" s="138" t="n">
        <x:f>I14*J14/1000000</x:f>
        <x:v>86.64084</x:v>
      </x:c>
      <x:c r="L14" s="139" t="n">
        <x:f>'RLV Inputs'!$G$7*'RLV Inputs'!$C$16</x:f>
        <x:v>350</x:v>
      </x:c>
      <x:c r="M14" s="138" t="n">
        <x:f>G14*L14/1000000</x:f>
        <x:v>45.738</x:v>
      </x:c>
      <x:c r="N14" s="138" t="n">
        <x:f>M14*'RLV Inputs'!$C$17</x:f>
        <x:v>3.65904</x:v>
      </x:c>
      <x:c r="O14" s="138" t="n">
        <x:f>M14*'RLV Inputs'!$C$18</x:f>
        <x:v>2.2869</x:v>
      </x:c>
      <x:c r="P14" s="138" t="n">
        <x:f>K14*'RLV Inputs'!$C$19</x:f>
        <x:v>2.5992252</x:v>
      </x:c>
      <x:c r="Q14" s="138" t="n">
        <x:f>K14*'RLV Inputs'!$C$20</x:f>
        <x:v>2.5992252</x:v>
      </x:c>
      <x:c r="R14" s="138" t="n">
        <x:f>K14*'RLV Inputs'!$C$21</x:f>
        <x:v>4.332042</x:v>
      </x:c>
      <x:c r="S14" s="138" t="n">
        <x:f>K14*'RLV Inputs'!$C$22</x:f>
        <x:v>1.7328168</x:v>
      </x:c>
      <x:c r="T14" s="138" t="n">
        <x:f>K14*'RLV Inputs'!$C$23</x:f>
        <x:v>17.328168</x:v>
      </x:c>
      <x:c r="U14" s="138" t="n">
        <x:f>K14-SUM(M14:T14)</x:f>
        <x:v>6.36542279999999</x:v>
      </x:c>
      <x:c r="V14" s="140" t="n">
        <x:f>U14*1000000/C14</x:f>
        <x:v>146.12999999999977</x:v>
      </x:c>
      <x:c r="W14" s="140" t="n">
        <x:f>(M14+N14+O14)*1000000/I14/(1-'RLV Inputs'!$C$19-'RLV Inputs'!$C$20-'RLV Inputs'!$C$21-'RLV Inputs'!$C$22-'RLV Inputs'!$C$23)</x:f>
        <x:v>756.7929582854956</x:v>
      </x:c>
    </x:row>
    <x:row r="15">
      <x:c r="A15" s="26" t="str">
        <x:v>Kampung Datuk Keramat</x:v>
      </x:c>
      <x:c r="B15" s="26" t="str">
        <x:v>Upside</x:v>
      </x:c>
      <x:c r="C15" s="132" t="n">
        <x:f>'RLV Inputs'!$D$13</x:f>
        <x:v>43560</x:v>
      </x:c>
      <x:c r="D15" s="133" t="n">
        <x:f>'RLV Inputs'!$B$7</x:f>
        <x:v>3</x:v>
      </x:c>
      <x:c r="E15" s="133" t="n">
        <x:f>'RLV Inputs'!$D$15</x:f>
        <x:v>0.25</x:v>
      </x:c>
      <x:c r="F15" s="134" t="n">
        <x:f>D15*(1+E15)</x:f>
        <x:v>3.75</x:v>
      </x:c>
      <x:c r="G15" s="135" t="n">
        <x:f>C15*F15</x:f>
        <x:v>163350</x:v>
      </x:c>
      <x:c r="H15" s="136" t="n">
        <x:f>'RLV Inputs'!$D$14</x:f>
        <x:v>0.8</x:v>
      </x:c>
      <x:c r="I15" s="135" t="n">
        <x:f>G15*H15</x:f>
        <x:v>130680</x:v>
      </x:c>
      <x:c r="J15" s="137" t="n">
        <x:f>'RLV Inputs'!$F$7</x:f>
        <x:v>1000</x:v>
      </x:c>
      <x:c r="K15" s="138" t="n">
        <x:f>I15*J15/1000000</x:f>
        <x:v>130.68</x:v>
      </x:c>
      <x:c r="L15" s="139" t="n">
        <x:f>'RLV Inputs'!$G$7*'RLV Inputs'!$D$16</x:f>
        <x:v>332.5</x:v>
      </x:c>
      <x:c r="M15" s="138" t="n">
        <x:f>G15*L15/1000000</x:f>
        <x:v>54.313875</x:v>
      </x:c>
      <x:c r="N15" s="138" t="n">
        <x:f>M15*'RLV Inputs'!$D$17</x:f>
        <x:v>4.34511</x:v>
      </x:c>
      <x:c r="O15" s="138" t="n">
        <x:f>M15*'RLV Inputs'!$D$18</x:f>
        <x:v>2.7156937500000002</x:v>
      </x:c>
      <x:c r="P15" s="138" t="n">
        <x:f>K15*'RLV Inputs'!$D$19</x:f>
        <x:v>3.9204</x:v>
      </x:c>
      <x:c r="Q15" s="138" t="n">
        <x:f>K15*'RLV Inputs'!$D$20</x:f>
        <x:v>3.9204</x:v>
      </x:c>
      <x:c r="R15" s="138" t="n">
        <x:f>K15*'RLV Inputs'!$D$21</x:f>
        <x:v>6.534000000000001</x:v>
      </x:c>
      <x:c r="S15" s="138" t="n">
        <x:f>K15*'RLV Inputs'!$D$22</x:f>
        <x:v>2.6136000000000004</x:v>
      </x:c>
      <x:c r="T15" s="138" t="n">
        <x:f>K15*'RLV Inputs'!$D$23</x:f>
        <x:v>23.5224</x:v>
      </x:c>
      <x:c r="U15" s="138" t="n">
        <x:f>K15-SUM(M15:T15)</x:f>
        <x:v>28.79452124999999</x:v>
      </x:c>
      <x:c r="V15" s="140" t="n">
        <x:f>U15*1000000/C15</x:f>
        <x:v>661.0312499999998</x:v>
      </x:c>
      <x:c r="W15" s="140" t="n">
        <x:f>(M15+N15+O15)*1000000/I15/(1-'RLV Inputs'!$D$19-'RLV Inputs'!$D$20-'RLV Inputs'!$D$21-'RLV Inputs'!$D$22-'RLV Inputs'!$D$23)</x:f>
        <x:v>680.661231884058</x:v>
      </x:c>
    </x:row>
    <x:row r="16">
      <x:c r="A16" s="26" t="str">
        <x:v>Flat Taman Bukit Angkasa</x:v>
      </x:c>
      <x:c r="B16" s="26" t="str">
        <x:v>Downside</x:v>
      </x:c>
      <x:c r="C16" s="132" t="n">
        <x:f>'RLV Inputs'!$B$13</x:f>
        <x:v>43560</x:v>
      </x:c>
      <x:c r="D16" s="133" t="n">
        <x:f>'RLV Inputs'!$B$8</x:f>
        <x:v>3.5</x:v>
      </x:c>
      <x:c r="E16" s="133" t="n">
        <x:f>'RLV Inputs'!$B$15</x:f>
        <x:v>0</x:v>
      </x:c>
      <x:c r="F16" s="134" t="n">
        <x:f>D16*(1+E16)</x:f>
        <x:v>3.5</x:v>
      </x:c>
      <x:c r="G16" s="135" t="n">
        <x:f>C16*F16</x:f>
        <x:v>152460</x:v>
      </x:c>
      <x:c r="H16" s="136" t="n">
        <x:f>'RLV Inputs'!$B$14</x:f>
        <x:v>0.75</x:v>
      </x:c>
      <x:c r="I16" s="135" t="n">
        <x:f>G16*H16</x:f>
        <x:v>114345</x:v>
      </x:c>
      <x:c r="J16" s="137" t="n">
        <x:f>'RLV Inputs'!$D$8</x:f>
        <x:v>650</x:v>
      </x:c>
      <x:c r="K16" s="138" t="n">
        <x:f>I16*J16/1000000</x:f>
        <x:v>74.32425</x:v>
      </x:c>
      <x:c r="L16" s="139" t="n">
        <x:f>'RLV Inputs'!$G$8*'RLV Inputs'!$B$16</x:f>
        <x:v>352</x:v>
      </x:c>
      <x:c r="M16" s="138" t="n">
        <x:f>G16*L16/1000000</x:f>
        <x:v>53.66592</x:v>
      </x:c>
      <x:c r="N16" s="138" t="n">
        <x:f>M16*'RLV Inputs'!$B$17</x:f>
        <x:v>4.2932736</x:v>
      </x:c>
      <x:c r="O16" s="138" t="n">
        <x:f>M16*'RLV Inputs'!$B$18</x:f>
        <x:v>2.6832960000000003</x:v>
      </x:c>
      <x:c r="P16" s="138" t="n">
        <x:f>K16*'RLV Inputs'!$B$19</x:f>
        <x:v>2.2297275</x:v>
      </x:c>
      <x:c r="Q16" s="138" t="n">
        <x:f>K16*'RLV Inputs'!$B$20</x:f>
        <x:v>2.2297275</x:v>
      </x:c>
      <x:c r="R16" s="138" t="n">
        <x:f>K16*'RLV Inputs'!$B$21</x:f>
        <x:v>3.7162125000000006</x:v>
      </x:c>
      <x:c r="S16" s="138" t="n">
        <x:f>K16*'RLV Inputs'!$B$22</x:f>
        <x:v>1.486485</x:v>
      </x:c>
      <x:c r="T16" s="138" t="n">
        <x:f>K16*'RLV Inputs'!$B$23</x:f>
        <x:v>16.351335000000002</x:v>
      </x:c>
      <x:c r="U16" s="138" t="n">
        <x:f>K16-SUM(M16:T16)</x:f>
        <x:v>-12.331727099999995</x:v>
      </x:c>
      <x:c r="V16" s="140" t="n">
        <x:f>U16*1000000/C16</x:f>
        <x:v>-283.09749999999985</x:v>
      </x:c>
      <x:c r="W16" s="140" t="n">
        <x:f>(M16+N16+O16)*1000000/I16/(1-'RLV Inputs'!$B$19-'RLV Inputs'!$B$20-'RLV Inputs'!$B$21-'RLV Inputs'!$B$22-'RLV Inputs'!$B$23)</x:f>
        <x:v>815.9179487179487</x:v>
      </x:c>
    </x:row>
    <x:row r="17">
      <x:c r="A17" s="26" t="str">
        <x:v>Flat Taman Bukit Angkasa</x:v>
      </x:c>
      <x:c r="B17" s="26" t="str">
        <x:v>Base</x:v>
      </x:c>
      <x:c r="C17" s="132" t="n">
        <x:f>'RLV Inputs'!$C$13</x:f>
        <x:v>43560</x:v>
      </x:c>
      <x:c r="D17" s="133" t="n">
        <x:f>'RLV Inputs'!$B$8</x:f>
        <x:v>3.5</x:v>
      </x:c>
      <x:c r="E17" s="133" t="n">
        <x:f>'RLV Inputs'!$C$15</x:f>
        <x:v>0</x:v>
      </x:c>
      <x:c r="F17" s="134" t="n">
        <x:f>D17*(1+E17)</x:f>
        <x:v>3.5</x:v>
      </x:c>
      <x:c r="G17" s="135" t="n">
        <x:f>C17*F17</x:f>
        <x:v>152460</x:v>
      </x:c>
      <x:c r="H17" s="136" t="n">
        <x:f>'RLV Inputs'!$C$14</x:f>
        <x:v>0.78</x:v>
      </x:c>
      <x:c r="I17" s="135" t="n">
        <x:f>G17*H17</x:f>
        <x:v>118918.8</x:v>
      </x:c>
      <x:c r="J17" s="137" t="n">
        <x:f>'RLV Inputs'!$E$8</x:f>
        <x:v>775</x:v>
      </x:c>
      <x:c r="K17" s="138" t="n">
        <x:f>I17*J17/1000000</x:f>
        <x:v>92.16207</x:v>
      </x:c>
      <x:c r="L17" s="139" t="n">
        <x:f>'RLV Inputs'!$G$8*'RLV Inputs'!$C$16</x:f>
        <x:v>320</x:v>
      </x:c>
      <x:c r="M17" s="138" t="n">
        <x:f>G17*L17/1000000</x:f>
        <x:v>48.7872</x:v>
      </x:c>
      <x:c r="N17" s="138" t="n">
        <x:f>M17*'RLV Inputs'!$C$17</x:f>
        <x:v>3.902976</x:v>
      </x:c>
      <x:c r="O17" s="138" t="n">
        <x:f>M17*'RLV Inputs'!$C$18</x:f>
        <x:v>2.43936</x:v>
      </x:c>
      <x:c r="P17" s="138" t="n">
        <x:f>K17*'RLV Inputs'!$C$19</x:f>
        <x:v>2.7648620999999998</x:v>
      </x:c>
      <x:c r="Q17" s="138" t="n">
        <x:f>K17*'RLV Inputs'!$C$20</x:f>
        <x:v>2.7648620999999998</x:v>
      </x:c>
      <x:c r="R17" s="138" t="n">
        <x:f>K17*'RLV Inputs'!$C$21</x:f>
        <x:v>4.6081035</x:v>
      </x:c>
      <x:c r="S17" s="138" t="n">
        <x:f>K17*'RLV Inputs'!$C$22</x:f>
        <x:v>1.8432414000000001</x:v>
      </x:c>
      <x:c r="T17" s="138" t="n">
        <x:f>K17*'RLV Inputs'!$C$23</x:f>
        <x:v>18.432414</x:v>
      </x:c>
      <x:c r="U17" s="138" t="n">
        <x:f>K17-SUM(M17:T17)</x:f>
        <x:v>6.619050899999991</x:v>
      </x:c>
      <x:c r="V17" s="140" t="n">
        <x:f>U17*1000000/C17</x:f>
        <x:v>151.9524999999998</x:v>
      </x:c>
      <x:c r="W17" s="140" t="n">
        <x:f>(M17+N17+O17)*1000000/I17/(1-'RLV Inputs'!$C$19-'RLV Inputs'!$C$20-'RLV Inputs'!$C$21-'RLV Inputs'!$C$22-'RLV Inputs'!$C$23)</x:f>
        <x:v>691.9249904324532</x:v>
      </x:c>
    </x:row>
    <x:row r="18">
      <x:c r="A18" s="26" t="str">
        <x:v>Flat Taman Bukit Angkasa</x:v>
      </x:c>
      <x:c r="B18" s="26" t="str">
        <x:v>Upside</x:v>
      </x:c>
      <x:c r="C18" s="132" t="n">
        <x:f>'RLV Inputs'!$D$13</x:f>
        <x:v>43560</x:v>
      </x:c>
      <x:c r="D18" s="133" t="n">
        <x:f>'RLV Inputs'!$B$8</x:f>
        <x:v>3.5</x:v>
      </x:c>
      <x:c r="E18" s="133" t="n">
        <x:f>'RLV Inputs'!$D$15</x:f>
        <x:v>0.25</x:v>
      </x:c>
      <x:c r="F18" s="134" t="n">
        <x:f>D18*(1+E18)</x:f>
        <x:v>4.375</x:v>
      </x:c>
      <x:c r="G18" s="135" t="n">
        <x:f>C18*F18</x:f>
        <x:v>190575</x:v>
      </x:c>
      <x:c r="H18" s="136" t="n">
        <x:f>'RLV Inputs'!$D$14</x:f>
        <x:v>0.8</x:v>
      </x:c>
      <x:c r="I18" s="135" t="n">
        <x:f>G18*H18</x:f>
        <x:v>152460</x:v>
      </x:c>
      <x:c r="J18" s="137" t="n">
        <x:f>'RLV Inputs'!$F$8</x:f>
        <x:v>900</x:v>
      </x:c>
      <x:c r="K18" s="138" t="n">
        <x:f>I18*J18/1000000</x:f>
        <x:v>137.214</x:v>
      </x:c>
      <x:c r="L18" s="139" t="n">
        <x:f>'RLV Inputs'!$G$8*'RLV Inputs'!$D$16</x:f>
        <x:v>304</x:v>
      </x:c>
      <x:c r="M18" s="138" t="n">
        <x:f>G18*L18/1000000</x:f>
        <x:v>57.9348</x:v>
      </x:c>
      <x:c r="N18" s="138" t="n">
        <x:f>M18*'RLV Inputs'!$D$17</x:f>
        <x:v>4.634784000000001</x:v>
      </x:c>
      <x:c r="O18" s="138" t="n">
        <x:f>M18*'RLV Inputs'!$D$18</x:f>
        <x:v>2.8967400000000003</x:v>
      </x:c>
      <x:c r="P18" s="138" t="n">
        <x:f>K18*'RLV Inputs'!$D$19</x:f>
        <x:v>4.11642</x:v>
      </x:c>
      <x:c r="Q18" s="138" t="n">
        <x:f>K18*'RLV Inputs'!$D$20</x:f>
        <x:v>4.11642</x:v>
      </x:c>
      <x:c r="R18" s="138" t="n">
        <x:f>K18*'RLV Inputs'!$D$21</x:f>
        <x:v>6.8607000000000005</x:v>
      </x:c>
      <x:c r="S18" s="138" t="n">
        <x:f>K18*'RLV Inputs'!$D$22</x:f>
        <x:v>2.74428</x:v>
      </x:c>
      <x:c r="T18" s="138" t="n">
        <x:f>K18*'RLV Inputs'!$D$23</x:f>
        <x:v>24.69852</x:v>
      </x:c>
      <x:c r="U18" s="138" t="n">
        <x:f>K18-SUM(M18:T18)</x:f>
        <x:v>29.21133599999999</x:v>
      </x:c>
      <x:c r="V18" s="140" t="n">
        <x:f>U18*1000000/C18</x:f>
        <x:v>670.5999999999998</x:v>
      </x:c>
      <x:c r="W18" s="140" t="n">
        <x:f>(M18+N18+O18)*1000000/I18/(1-'RLV Inputs'!$D$19-'RLV Inputs'!$D$20-'RLV Inputs'!$D$21-'RLV Inputs'!$D$22-'RLV Inputs'!$D$23)</x:f>
        <x:v>622.3188405797101</x:v>
      </x:c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</x:row>
  </x:sheetData>
  <x:mergeCells>
    <x:mergeCell ref="A1:W1"/>
  </x:mergeCells>
  <x:pageMargins left="0.7" right="0.7" top="0.75" bottom="0.75" header="0.3" footer="0.3"/>
  <x:tableParts count="1">
    <x:tablePart xmlns:r="http://schemas.openxmlformats.org/officeDocument/2006/relationships" r:id="Rdfef262a944c4a7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58" hidden="0" customWidth="1"/>
  </x:cols>
  <x:sheetData>
    <x:row r="1">
      <x:c r="A1" s="90" t="str">
        <x:v>RLV Summary – What the First Pass Says</x:v>
      </x:c>
      <x:c r="B1" s="90"/>
      <x:c r="C1" s="90"/>
      <x:c r="D1" s="90"/>
      <x:c r="E1" s="90"/>
      <x:c r="F1" s="90"/>
      <x:c r="G1" s="90"/>
      <x:c r="H1" s="90"/>
      <x:c r="I1" s="90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</x:row>
    <x:row r="3">
      <x:c r="A3" s="142" t="str">
        <x:v>Site</x:v>
      </x:c>
      <x:c r="B3" s="142" t="str">
        <x:v>Downside RLV / acre (RM m)</x:v>
      </x:c>
      <x:c r="C3" s="142" t="str">
        <x:v>Base RLV / acre (RM m)</x:v>
      </x:c>
      <x:c r="D3" s="142" t="str">
        <x:v>Upside RLV / acre (RM m)</x:v>
      </x:c>
      <x:c r="E3" s="142" t="str">
        <x:v>Base RLV (RM/land sf)</x:v>
      </x:c>
      <x:c r="F3" s="142" t="str">
        <x:v>Base breakeven ASP (RM/sf)</x:v>
      </x:c>
      <x:c r="G3" s="142" t="str">
        <x:v>Base ASP assumption (RM/sf)</x:v>
      </x:c>
      <x:c r="H3" s="142" t="str">
        <x:v>Spread to breakeven</x:v>
      </x:c>
      <x:c r="I3" s="142" t="str">
        <x:v>First-pass interpretation</x:v>
      </x:c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</x:row>
    <x:row r="4">
      <x:c r="A4" s="26" t="str">
        <x:v>Apartmen Taman Taiping, Jalan Tandok</x:v>
      </x:c>
      <x:c r="B4" s="139" t="n">
        <x:f>'RLV Model'!U4</x:f>
        <x:v>-10.184328000000022</x:v>
      </x:c>
      <x:c r="C4" s="139" t="n">
        <x:f>'RLV Model'!U5</x:f>
        <x:v>21.40712639999998</x:v>
      </x:c>
      <x:c r="D4" s="139" t="n">
        <x:f>'RLV Model'!U6</x:f>
        <x:v>56.75868</x:v>
      </x:c>
      <x:c r="E4" s="137" t="n">
        <x:f>'RLV Model'!V5</x:f>
        <x:v>491.43999999999954</x:v>
      </x:c>
      <x:c r="F4" s="137" t="n">
        <x:f>'RLV Model'!W5</x:f>
        <x:v>864.9062380405666</x:v>
      </x:c>
      <x:c r="G4" s="137" t="n">
        <x:f>'RLV Model'!J5</x:f>
        <x:v>1100</x:v>
      </x:c>
      <x:c r="H4" s="137" t="n">
        <x:f>G4-F4</x:f>
        <x:v>235.09376195943344</x:v>
      </x:c>
      <x:c r="I4" s="26" t="str">
        <x:v>Strongest first-pass economics. Base works even with zero PR uplift; the key question becomes actual site area, owner compensation and assembly feasibility.</x:v>
      </x:c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</x:row>
    <x:row r="5">
      <x:c r="A5" s="26" t="str">
        <x:v>Perumahan Jalan Jujur &amp; Jalan Ikhlas</x:v>
      </x:c>
      <x:c r="B5" s="139" t="n">
        <x:f>'RLV Model'!U7</x:f>
        <x:v>-19.61626590000001</x:v>
      </x:c>
      <x:c r="C5" s="139" t="n">
        <x:f>'RLV Model'!U8</x:f>
        <x:v>-4.416766199999998</x:v>
      </x:c>
      <x:c r="D5" s="139" t="n">
        <x:f>'RLV Model'!U9</x:f>
        <x:v>11.095276499999997</x:v>
      </x:c>
      <x:c r="E5" s="137" t="n">
        <x:f>'RLV Model'!V8</x:f>
        <x:v>-101.39499999999997</x:v>
      </x:c>
      <x:c r="F5" s="137" t="n">
        <x:f>'RLV Model'!W8</x:f>
        <x:v>605.4343666283966</x:v>
      </x:c>
      <x:c r="G5" s="137" t="n">
        <x:f>'RLV Model'!J8</x:f>
        <x:v>550</x:v>
      </x:c>
      <x:c r="H5" s="137" t="n">
        <x:f>G5-F5</x:f>
        <x:v>-55.43436662839656</x:v>
      </x:c>
      <x:c r="I5" s="26" t="str">
        <x:v>Base case is below residual break-even. Needs higher sell-through pricing, lower all-in cost, subsidy/incentive, or a cheaper owner-compensation structure.</x:v>
      </x:c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</x:row>
    <x:row r="6">
      <x:c r="A6" s="26" t="str">
        <x:v>Perumahan Kluster Jalan Rejang</x:v>
      </x:c>
      <x:c r="B6" s="139" t="n">
        <x:f>'RLV Model'!U10</x:f>
        <x:v>-17.7951312</x:v>
      </x:c>
      <x:c r="C6" s="139" t="n">
        <x:f>'RLV Model'!U11</x:f>
        <x:v>-2.1557843999999875</x:v>
      </x:c>
      <x:c r="D6" s="139" t="n">
        <x:f>'RLV Model'!U12</x:f>
        <x:v>14.30932387499999</x:v>
      </x:c>
      <x:c r="E6" s="137" t="n">
        <x:f>'RLV Model'!V11</x:f>
        <x:v>-49.48999999999971</x:v>
      </x:c>
      <x:c r="F6" s="137" t="n">
        <x:f>'RLV Model'!W11</x:f>
        <x:v>627.0570225794107</x:v>
      </x:c>
      <x:c r="G6" s="137" t="n">
        <x:f>'RLV Model'!J11</x:f>
        <x:v>600</x:v>
      </x:c>
      <x:c r="H6" s="137" t="n">
        <x:f>G6-F6</x:f>
        <x:v>-27.057022579410727</x:v>
      </x:c>
      <x:c r="I6" s="26" t="str">
        <x:v>Marginal/negative base case. Market ASP must clear the current breakeven level before density creates real land value.</x:v>
      </x:c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</x:row>
    <x:row r="7">
      <x:c r="A7" s="26" t="str">
        <x:v>Kampung Datuk Keramat</x:v>
      </x:c>
      <x:c r="B7" s="139" t="n">
        <x:f>'RLV Model'!U13</x:f>
        <x:v>-12.257784000000015</x:v>
      </x:c>
      <x:c r="C7" s="139" t="n">
        <x:f>'RLV Model'!U14</x:f>
        <x:v>6.36542279999999</x:v>
      </x:c>
      <x:c r="D7" s="139" t="n">
        <x:f>'RLV Model'!U15</x:f>
        <x:v>28.79452124999999</x:v>
      </x:c>
      <x:c r="E7" s="137" t="n">
        <x:f>'RLV Model'!V14</x:f>
        <x:v>146.12999999999977</x:v>
      </x:c>
      <x:c r="F7" s="137" t="n">
        <x:f>'RLV Model'!W14</x:f>
        <x:v>756.7929582854956</x:v>
      </x:c>
      <x:c r="G7" s="137" t="n">
        <x:f>'RLV Model'!J14</x:f>
        <x:v>850</x:v>
      </x:c>
      <x:c r="H7" s="137" t="n">
        <x:f>G7-F7</x:f>
        <x:v>93.20704171450438</x:v>
      </x:c>
      <x:c r="I7" s="26" t="str">
        <x:v>Positive base residual, but current individual land asks can already exceed modelled RLV. Opportunity is likely in aggregation/JV or low-basis interior parcels, not paying prime asking prices.</x:v>
      </x:c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</x:row>
    <x:row r="8">
      <x:c r="A8" s="26" t="str">
        <x:v>Flat Taman Bukit Angkasa</x:v>
      </x:c>
      <x:c r="B8" s="139" t="n">
        <x:f>'RLV Model'!U16</x:f>
        <x:v>-12.331727099999995</x:v>
      </x:c>
      <x:c r="C8" s="139" t="n">
        <x:f>'RLV Model'!U17</x:f>
        <x:v>6.619050899999991</x:v>
      </x:c>
      <x:c r="D8" s="139" t="n">
        <x:f>'RLV Model'!U18</x:f>
        <x:v>29.21133599999999</x:v>
      </x:c>
      <x:c r="E8" s="137" t="n">
        <x:f>'RLV Model'!V17</x:f>
        <x:v>151.9524999999998</x:v>
      </x:c>
      <x:c r="F8" s="137" t="n">
        <x:f>'RLV Model'!W17</x:f>
        <x:v>691.9249904324532</x:v>
      </x:c>
      <x:c r="G8" s="137" t="n">
        <x:f>'RLV Model'!J17</x:f>
        <x:v>775</x:v>
      </x:c>
      <x:c r="H8" s="137" t="n">
        <x:f>G8-F8</x:f>
        <x:v>83.07500956754677</x:v>
      </x:c>
      <x:c r="I8" s="26" t="str">
        <x:v>Positive base residual if provisional PR 3.5 is confirmed. High priority to verify DCP2 intensity and exact site area/owner count.</x:v>
      </x:c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</x:row>
    <x:row r="11">
      <x:c r="A11" s="141" t="str">
        <x:v>Critical limitations before treating this as acquisition value</x:v>
      </x:c>
      <x:c r="B11" s="141"/>
      <x:c r="C11" s="141"/>
      <x:c r="D11" s="141"/>
      <x:c r="E11" s="141"/>
      <x:c r="F11" s="141"/>
      <x:c r="G11" s="141"/>
      <x:c r="H11" s="141"/>
      <x:c r="I11" s="141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</x:row>
    <x:row r="12">
      <x:c r="A12" s="122" t="str">
        <x:v>1) Results are normalized to 1 acre because complete surveyed site areas are not yet confirmed for all five sites. 2) Bukit Angkasa's 1:3.5 PR is provisional until the PTKL DCP2 intensity map is verified. 3) Owner compensation / replacement-housing terms can dominate urban-renewal economics and are represented only by a simplified demolition/relocation allowance here. 4) ASP inputs are underwriting assumptions informed by current nearby asks/transactions, not formal valuations. 5) RLV is the maximum residual budget available for land/owner consideration before acquisition taxes and deal-specific legal costs; it is not developer profit.</x:v>
      </x:c>
      <x:c r="B12" s="122"/>
      <x:c r="C12" s="122"/>
      <x:c r="D12" s="122"/>
      <x:c r="E12" s="122"/>
      <x:c r="F12" s="122"/>
      <x:c r="G12" s="122"/>
      <x:c r="H12" s="122"/>
      <x:c r="I12" s="122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</x:row>
    <x:row r="13">
      <x:c r="A13" s="122"/>
      <x:c r="B13" s="122"/>
      <x:c r="C13" s="122"/>
      <x:c r="D13" s="122"/>
      <x:c r="E13" s="122"/>
      <x:c r="F13" s="122"/>
      <x:c r="G13" s="122"/>
      <x:c r="H13" s="122"/>
      <x:c r="I13" s="122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</x:row>
    <x:row r="15">
      <x:c r="A15" s="122"/>
      <x:c r="B15" s="122"/>
      <x:c r="C15" s="122"/>
      <x:c r="D15" s="122"/>
      <x:c r="E15" s="122"/>
      <x:c r="F15" s="122"/>
      <x:c r="G15" s="122"/>
      <x:c r="H15" s="122"/>
      <x:c r="I15" s="122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</x:row>
    <x:row r="16">
      <x:c r="A16" s="122"/>
      <x:c r="B16" s="122"/>
      <x:c r="C16" s="122"/>
      <x:c r="D16" s="122"/>
      <x:c r="E16" s="122"/>
      <x:c r="F16" s="122"/>
      <x:c r="G16" s="122"/>
      <x:c r="H16" s="122"/>
      <x:c r="I16" s="122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</x:row>
  </x:sheetData>
  <x:mergeCells>
    <x:mergeCell ref="A1:I1"/>
    <x:mergeCell ref="A11:I11"/>
    <x:mergeCell ref="A12:I16"/>
  </x:mergeCells>
  <x:conditionalFormatting sqref="C4:C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H4:H8">
    <x:cfRule type="cellIs" dxfId="0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a1659202894143c3"/>
  <x:tableParts count="1">
    <x:tablePart xmlns:r="http://schemas.openxmlformats.org/officeDocument/2006/relationships" r:id="Reb356c144b42447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0" hidden="0" customWidth="1"/>
    <x:col min="4" max="4" width="20" hidden="0" customWidth="1"/>
    <x:col min="5" max="5" width="58" hidden="0" customWidth="1"/>
    <x:col min="6" max="6" width="4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74" t="str">
        <x:v>Taman Taiping – Owner Compensation &amp; Assembly Economics</x:v>
      </x:c>
      <x:c r="B1" s="174"/>
      <x:c r="C1" s="174"/>
      <x:c r="D1" s="174"/>
      <x:c r="E1" s="174"/>
      <x:c r="F1" s="174"/>
      <x:c r="G1" s="174"/>
      <x:c r="H1" s="174"/>
      <x:c r="I1" s="174"/>
      <x:c r="J1" s="17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75" t="str">
        <x:v>Key Evidence &amp; Underwriting Inputs</x:v>
      </x:c>
      <x:c r="B3" s="175"/>
      <x:c r="C3" s="175"/>
      <x:c r="D3" s="175"/>
      <x:c r="E3" s="175"/>
      <x:c r="F3" s="175"/>
      <x:c r="G3" s="4"/>
      <x:c r="H3" s="4"/>
      <x:c r="I3" s="4"/>
      <x:c r="J3" s="4"/>
    </x:row>
    <x:row r="4">
      <x:c r="A4" s="26" t="str">
        <x:v>Input</x:v>
      </x:c>
      <x:c r="B4" s="26" t="str">
        <x:v>Value</x:v>
      </x:c>
      <x:c r="C4" s="26" t="str">
        <x:v>Unit</x:v>
      </x:c>
      <x:c r="D4" s="26" t="str">
        <x:v>Status</x:v>
      </x:c>
      <x:c r="E4" s="26" t="str">
        <x:v>Source / rationale</x:v>
      </x:c>
      <x:c r="F4" s="26" t="str">
        <x:v>Notes</x:v>
      </x:c>
      <x:c r="G4" s="4"/>
      <x:c r="H4" s="4"/>
      <x:c r="I4" s="4"/>
      <x:c r="J4" s="4"/>
    </x:row>
    <x:row r="5">
      <x:c r="A5" s="26" t="str">
        <x:v>Base plot ratio</x:v>
      </x:c>
      <x:c r="B5" s="180" t="n">
        <x:v>4</x:v>
      </x:c>
      <x:c r="C5" s="26" t="str">
        <x:v>x</x:v>
      </x:c>
      <x:c r="D5" s="26" t="str">
        <x:v>Official</x:v>
      </x:c>
      <x:c r="E5" s="26" t="str">
        <x:v>PTKL2040 Site 6 – Taman Taiping Apartment</x:v>
      </x:c>
      <x:c r="F5" s="26" t="str">
        <x:v>R3, PR 1:4; comprehensive whole-site or block-cluster redevelopment; access via Jalan Tandok.</x:v>
      </x:c>
      <x:c r="G5" s="4"/>
      <x:c r="H5" s="4"/>
      <x:c r="I5" s="4"/>
      <x:c r="J5" s="4"/>
    </x:row>
    <x:row r="6">
      <x:c r="A6" s="26" t="str">
        <x:v>Base RLV per acre</x:v>
      </x:c>
      <x:c r="B6" s="139" t="n">
        <x:f>'RLV Summary'!C4</x:f>
        <x:v>21.40712639999998</x:v>
      </x:c>
      <x:c r="C6" s="26" t="str">
        <x:v>RM m / acre</x:v>
      </x:c>
      <x:c r="D6" s="26" t="str">
        <x:v>Linked model</x:v>
      </x:c>
      <x:c r="E6" s="26" t="str">
        <x:v>RLV Summary – base scenario</x:v>
      </x:c>
      <x:c r="F6" s="26" t="str">
        <x:v>Residual budget available for land / owner consideration after modeled development costs and 20% developer profit.</x:v>
      </x:c>
      <x:c r="G6" s="4"/>
      <x:c r="H6" s="4"/>
      <x:c r="I6" s="4"/>
      <x:c r="J6" s="4"/>
    </x:row>
    <x:row r="7">
      <x:c r="A7" s="26" t="str">
        <x:v>Observed residential transaction</x:v>
      </x:c>
      <x:c r="B7" s="181" t="n">
        <x:v>470000</x:v>
      </x:c>
      <x:c r="C7" s="26" t="str">
        <x:v>RM / strata parcel</x:v>
      </x:c>
      <x:c r="D7" s="26" t="str">
        <x:v>Market evidence</x:v>
      </x:c>
      <x:c r="E7" s="26" t="str">
        <x:v>Brickz public sample: Taman Taiping, Bangsar; median RM470k, RM295 psf</x:v>
      </x:c>
      <x:c r="F7" s="26" t="str">
        <x:v>Thin evidence: only one filed transaction in the public sample.</x:v>
      </x:c>
      <x:c r="G7" s="4"/>
      <x:c r="H7" s="4"/>
      <x:c r="I7" s="4"/>
      <x:c r="J7" s="4"/>
    </x:row>
    <x:row r="8">
      <x:c r="A8" s="26" t="str">
        <x:v>Observed residential psf</x:v>
      </x:c>
      <x:c r="B8" s="181" t="n">
        <x:v>295</x:v>
      </x:c>
      <x:c r="C8" s="26" t="str">
        <x:v>RM / built-up sf</x:v>
      </x:c>
      <x:c r="D8" s="26" t="str">
        <x:v>Market evidence</x:v>
      </x:c>
      <x:c r="E8" s="26" t="str">
        <x:v>Brickz public sample</x:v>
      </x:c>
      <x:c r="F8" s="26" t="str">
        <x:v>Used only to infer approximate transacted floor size.</x:v>
      </x:c>
      <x:c r="G8" s="4"/>
      <x:c r="H8" s="4"/>
      <x:c r="I8" s="4"/>
      <x:c r="J8" s="4"/>
    </x:row>
    <x:row r="9">
      <x:c r="A9" s="26" t="str">
        <x:v>Implied transacted floor area</x:v>
      </x:c>
      <x:c r="B9" s="182" t="n">
        <x:f>B7/B8</x:f>
        <x:v>1593.2203389830509</x:v>
      </x:c>
      <x:c r="C9" s="26" t="str">
        <x:v>sq ft</x:v>
      </x:c>
      <x:c r="D9" s="26" t="str">
        <x:v>Calculated</x:v>
      </x:c>
      <x:c r="E9" s="26" t="str">
        <x:v>Observed price / observed psf</x:v>
      </x:c>
      <x:c r="F9" s="26" t="str">
        <x:v>Sense-check only.</x:v>
      </x:c>
      <x:c r="G9" s="4"/>
      <x:c r="H9" s="4"/>
      <x:c r="I9" s="4"/>
      <x:c r="J9" s="4"/>
    </x:row>
    <x:row r="10">
      <x:c r="A10" s="26" t="str">
        <x:v>Ground-floor shop asking rent</x:v>
      </x:c>
      <x:c r="B10" s="181" t="n">
        <x:v>8000</x:v>
      </x:c>
      <x:c r="C10" s="26" t="str">
        <x:v>RM / month</x:v>
      </x:c>
      <x:c r="D10" s="26" t="str">
        <x:v>Market evidence</x:v>
      </x:c>
      <x:c r="E10" s="26" t="str">
        <x:v>iProperty: Taman Taiping ground-floor shop, 1,540 sf, asking RM8,000/month</x:v>
      </x:c>
      <x:c r="F10" s="26" t="str">
        <x:v>Asking rent, not executed lease.</x:v>
      </x:c>
      <x:c r="G10" s="4"/>
      <x:c r="H10" s="4"/>
      <x:c r="I10" s="4"/>
      <x:c r="J10" s="4"/>
    </x:row>
    <x:row r="11">
      <x:c r="A11" s="26" t="str">
        <x:v>Ground-floor shop floor area</x:v>
      </x:c>
      <x:c r="B11" s="183" t="n">
        <x:v>1540</x:v>
      </x:c>
      <x:c r="C11" s="26" t="str">
        <x:v>sq ft</x:v>
      </x:c>
      <x:c r="D11" s="26" t="str">
        <x:v>Market evidence</x:v>
      </x:c>
      <x:c r="E11" s="26" t="str">
        <x:v>iProperty: Taman Taiping shop; 22 x 70</x:v>
      </x:c>
      <x:c r="F11" s="26" t="str">
        <x:v>Public listing.</x:v>
      </x:c>
      <x:c r="G11" s="4"/>
      <x:c r="H11" s="4"/>
      <x:c r="I11" s="4"/>
      <x:c r="J11" s="4"/>
    </x:row>
    <x:row r="12">
      <x:c r="A12" s="26" t="str">
        <x:v>Shop capitalization yield</x:v>
      </x:c>
      <x:c r="B12" s="184" t="n">
        <x:v>0.06</x:v>
      </x:c>
      <x:c r="C12" s="26" t="str">
        <x:v>%</x:v>
      </x:c>
      <x:c r="D12" s="26" t="str">
        <x:v>Underwriting</x:v>
      </x:c>
      <x:c r="E12" s="26" t="str">
        <x:v>Model assumption</x:v>
      </x:c>
      <x:c r="F12" s="26" t="str">
        <x:v>Editable; converts asking rent into indicative capital value.</x:v>
      </x:c>
      <x:c r="G12" s="4"/>
      <x:c r="H12" s="4"/>
      <x:c r="I12" s="4"/>
      <x:c r="J12" s="4"/>
    </x:row>
    <x:row r="13">
      <x:c r="A13" s="26" t="str">
        <x:v>Implied shop capital value</x:v>
      </x:c>
      <x:c r="B13" s="185" t="n">
        <x:f>B10*12/B12</x:f>
        <x:v>1600000</x:v>
      </x:c>
      <x:c r="C13" s="26" t="str">
        <x:v>RM / shop strata</x:v>
      </x:c>
      <x:c r="D13" s="26" t="str">
        <x:v>Calculated</x:v>
      </x:c>
      <x:c r="E13" s="26" t="str">
        <x:v>Annualized asking rent / cap yield</x:v>
      </x:c>
      <x:c r="F13" s="26" t="str">
        <x:v>Income-cap proxy, not formal valuation.</x:v>
      </x:c>
      <x:c r="G13" s="4"/>
      <x:c r="H13" s="4"/>
      <x:c r="I13" s="4"/>
      <x:c r="J13" s="4"/>
    </x:row>
    <x:row r="14">
      <x:c r="A14" s="26" t="str">
        <x:v>Shop share of ownership interests</x:v>
      </x:c>
      <x:c r="B14" s="184" t="n">
        <x:v>0.25</x:v>
      </x:c>
      <x:c r="C14" s="26" t="str">
        <x:v>% of interests</x:v>
      </x:c>
      <x:c r="D14" s="26" t="str">
        <x:v>Underwriting</x:v>
      </x:c>
      <x:c r="E14" s="26" t="str">
        <x:v>Model assumption</x:v>
      </x:c>
      <x:c r="F14" s="26" t="str">
        <x:v>Unknown until strata roll is obtained; sensitivity below.</x:v>
      </x:c>
      <x:c r="G14" s="4"/>
      <x:c r="H14" s="4"/>
      <x:c r="I14" s="4"/>
      <x:c r="J14" s="4"/>
    </x:row>
    <x:row r="15">
      <x:c r="A15" s="26" t="str">
        <x:v>Required owner uplift</x:v>
      </x:c>
      <x:c r="B15" s="184" t="n">
        <x:v>0.3</x:v>
      </x:c>
      <x:c r="C15" s="26" t="str">
        <x:v>% above current MV</x:v>
      </x:c>
      <x:c r="D15" s="26" t="str">
        <x:v>Underwriting</x:v>
      </x:c>
      <x:c r="E15" s="26" t="str">
        <x:v>Model assumption</x:v>
      </x:c>
      <x:c r="F15" s="26" t="str">
        <x:v>Proxy for premium required to induce voluntary assembly / redevelopment support.</x:v>
      </x:c>
      <x:c r="G15" s="4"/>
      <x:c r="H15" s="4"/>
      <x:c r="I15" s="4"/>
      <x:c r="J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>
      <x:c r="A18" s="175" t="str">
        <x:v>Base Owner-Economics Test</x:v>
      </x:c>
      <x:c r="B18" s="175"/>
      <x:c r="C18" s="175"/>
      <x:c r="D18" s="175"/>
      <x:c r="E18" s="175"/>
      <x:c r="F18" s="175"/>
      <x:c r="G18" s="4"/>
      <x:c r="H18" s="4"/>
      <x:c r="I18" s="4"/>
      <x:c r="J18" s="4"/>
    </x:row>
    <x:row r="19">
      <x:c r="A19" s="26" t="str">
        <x:v>Metric</x:v>
      </x:c>
      <x:c r="B19" s="26" t="str">
        <x:v>Formula / value</x:v>
      </x:c>
      <x:c r="C19" s="26" t="str">
        <x:v>Unit</x:v>
      </x:c>
      <x:c r="D19" s="26" t="str">
        <x:v>Interpretation</x:v>
      </x:c>
      <x:c r="E19" s="26" t="str">
        <x:v>Source</x:v>
      </x:c>
      <x:c r="F19" s="26" t="str">
        <x:v>Status</x:v>
      </x:c>
      <x:c r="G19" s="4"/>
      <x:c r="H19" s="4"/>
      <x:c r="I19" s="4"/>
      <x:c r="J19" s="4"/>
    </x:row>
    <x:row r="20">
      <x:c r="A20" s="26" t="str">
        <x:v>Residential owner value</x:v>
      </x:c>
      <x:c r="B20" s="185" t="n">
        <x:f>B7</x:f>
        <x:v>470000</x:v>
      </x:c>
      <x:c r="C20" s="26" t="str">
        <x:v>RM / interest</x:v>
      </x:c>
      <x:c r="D20" s="26" t="str">
        <x:v>Benchmark residential strata value</x:v>
      </x:c>
      <x:c r="E20" s="26" t="str">
        <x:v>Brickz public transaction</x:v>
      </x:c>
      <x:c r="F20" s="26" t="str">
        <x:v>Market evidence</x:v>
      </x:c>
      <x:c r="G20" s="4"/>
      <x:c r="H20" s="4"/>
      <x:c r="I20" s="4"/>
      <x:c r="J20" s="4"/>
    </x:row>
    <x:row r="21">
      <x:c r="A21" s="26" t="str">
        <x:v>Commercial owner value</x:v>
      </x:c>
      <x:c r="B21" s="185" t="n">
        <x:f>B13</x:f>
        <x:v>1600000</x:v>
      </x:c>
      <x:c r="C21" s="26" t="str">
        <x:v>RM / interest</x:v>
      </x:c>
      <x:c r="D21" s="26" t="str">
        <x:v>Income-cap proxy for ground-floor commercial strata</x:v>
      </x:c>
      <x:c r="E21" s="26" t="str">
        <x:v>Shop asking rent + 6% cap</x:v>
      </x:c>
      <x:c r="F21" s="26" t="str">
        <x:v>Underwriting</x:v>
      </x:c>
      <x:c r="G21" s="4"/>
      <x:c r="H21" s="4"/>
      <x:c r="I21" s="4"/>
      <x:c r="J21" s="4"/>
    </x:row>
    <x:row r="22">
      <x:c r="A22" s="26" t="str">
        <x:v>Weighted current value / interest</x:v>
      </x:c>
      <x:c r="B22" s="185" t="n">
        <x:f>B20*(1-B14)+B21*B14</x:f>
        <x:v>752500</x:v>
      </x:c>
      <x:c r="C22" s="26" t="str">
        <x:v>RM / interest</x:v>
      </x:c>
      <x:c r="D22" s="26" t="str">
        <x:v>Blends residential and ground-floor commercial interests</x:v>
      </x:c>
      <x:c r="E22" s="26" t="str">
        <x:v>Model</x:v>
      </x:c>
      <x:c r="F22" s="26" t="str">
        <x:v>Calculated</x:v>
      </x:c>
      <x:c r="G22" s="4"/>
      <x:c r="H22" s="4"/>
      <x:c r="I22" s="4"/>
      <x:c r="J22" s="4"/>
    </x:row>
    <x:row r="23">
      <x:c r="A23" s="26" t="str">
        <x:v>Required package / interest</x:v>
      </x:c>
      <x:c r="B23" s="185" t="n">
        <x:f>B22*(1+B15)</x:f>
        <x:v>978250</x:v>
      </x:c>
      <x:c r="C23" s="26" t="str">
        <x:v>RM / interest</x:v>
      </x:c>
      <x:c r="D23" s="26" t="str">
        <x:v>Weighted current value plus owner uplift</x:v>
      </x:c>
      <x:c r="E23" s="26" t="str">
        <x:v>Model</x:v>
      </x:c>
      <x:c r="F23" s="26" t="str">
        <x:v>Calculated</x:v>
      </x:c>
      <x:c r="G23" s="4"/>
      <x:c r="H23" s="4"/>
      <x:c r="I23" s="4"/>
      <x:c r="J23" s="4"/>
    </x:row>
    <x:row r="24">
      <x:c r="A24" s="26" t="str">
        <x:v>Max interests supportable / acre</x:v>
      </x:c>
      <x:c r="B24" s="34" t="n">
        <x:f>B6*1000000/B23</x:f>
        <x:v>21.88308346537182</x:v>
      </x:c>
      <x:c r="C24" s="26" t="str">
        <x:v>interests / acre</x:v>
      </x:c>
      <x:c r="D24" s="26" t="str">
        <x:v>Critical owner-density threshold under base RLV</x:v>
      </x:c>
      <x:c r="E24" s="26" t="str">
        <x:v>Model</x:v>
      </x:c>
      <x:c r="F24" s="26" t="str">
        <x:v>Calculated</x:v>
      </x:c>
      <x:c r="G24" s="4"/>
      <x:c r="H24" s="4"/>
      <x:c r="I24" s="4"/>
      <x:c r="J24" s="4"/>
    </x:row>
    <x:row r="25">
      <x:c r="A25" s="26" t="str">
        <x:v>Equivalent site area for 40 interests</x:v>
      </x:c>
      <x:c r="B25" s="186" t="n">
        <x:f>40*B23/(B6*1000000)</x:f>
        <x:v>1.8278959664572278</x:v>
      </x:c>
      <x:c r="C25" s="26" t="str">
        <x:v>acres</x:v>
      </x:c>
      <x:c r="D25" s="26" t="str">
        <x:v>Minimum land area needed to pay 40 interests the required package</x:v>
      </x:c>
      <x:c r="E25" s="26" t="str">
        <x:v>Model</x:v>
      </x:c>
      <x:c r="F25" s="26" t="str">
        <x:v>Calculated</x:v>
      </x:c>
      <x:c r="G25" s="4"/>
      <x:c r="H25" s="4"/>
      <x:c r="I25" s="4"/>
      <x:c r="J25" s="4"/>
    </x:row>
    <x:row r="26">
      <x:c r="A26" s="26" t="str">
        <x:v>Equivalent site area for 60 interests</x:v>
      </x:c>
      <x:c r="B26" s="186" t="n">
        <x:f>60*B23/(B6*1000000)</x:f>
        <x:v>2.7418439496858418</x:v>
      </x:c>
      <x:c r="C26" s="26" t="str">
        <x:v>acres</x:v>
      </x:c>
      <x:c r="D26" s="26" t="str">
        <x:v>Minimum land area needed to pay 60 interests the required package</x:v>
      </x:c>
      <x:c r="E26" s="26" t="str">
        <x:v>Model</x:v>
      </x:c>
      <x:c r="F26" s="26" t="str">
        <x:v>Calculated</x:v>
      </x:c>
      <x:c r="G26" s="4"/>
      <x:c r="H26" s="4"/>
      <x:c r="I26" s="4"/>
      <x:c r="J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>
      <x:c r="A29" s="175" t="str">
        <x:v>Maximum Ownership Interests Supported per Acre</x:v>
      </x:c>
      <x:c r="B29" s="175"/>
      <x:c r="C29" s="175"/>
      <x:c r="D29" s="175"/>
      <x:c r="E29" s="175"/>
      <x:c r="F29" s="175"/>
      <x:c r="G29" s="175"/>
      <x:c r="H29" s="4"/>
      <x:c r="I29" s="4"/>
      <x:c r="J29" s="4"/>
    </x:row>
    <x:row r="30">
      <x:c r="A30" s="26" t="str">
        <x:v>Shop share / Owner uplift</x:v>
      </x:c>
      <x:c r="B30" s="32" t="n">
        <x:v>0.2</x:v>
      </x:c>
      <x:c r="C30" s="32" t="n">
        <x:v>0.25</x:v>
      </x:c>
      <x:c r="D30" s="32" t="n">
        <x:v>0.3</x:v>
      </x:c>
      <x:c r="E30" s="32" t="n">
        <x:v>0.35</x:v>
      </x:c>
      <x:c r="F30" s="32" t="n">
        <x:v>0.4</x:v>
      </x:c>
      <x:c r="G30" s="26" t="str">
        <x:v>Comment</x:v>
      </x:c>
      <x:c r="H30" s="4"/>
      <x:c r="I30" s="4"/>
      <x:c r="J30" s="4"/>
    </x:row>
    <x:row r="31">
      <x:c r="A31" s="32" t="n">
        <x:v>0.1</x:v>
      </x:c>
      <x:c r="B31" s="34" t="n">
        <x:f>$B$6*1000000/(($B$20*(1-$A31)+$B$21*$A31)*(1+B$30))</x:f>
        <x:v>30.599094339622614</x:v>
      </x:c>
      <x:c r="C31" s="34" t="n">
        <x:f>$B$6*1000000/(($B$20*(1-$A31)+$B$21*$A31)*(1+C$30))</x:f>
        <x:v>29.375130566037708</x:v>
      </x:c>
      <x:c r="D31" s="34" t="n">
        <x:f>$B$6*1000000/(($B$20*(1-$A31)+$B$21*$A31)*(1+D$30))</x:f>
        <x:v>28.245317851959335</x:v>
      </x:c>
      <x:c r="E31" s="34" t="n">
        <x:f>$B$6*1000000/(($B$20*(1-$A31)+$B$21*$A31)*(1+E$30))</x:f>
        <x:v>27.199194968553435</x:v>
      </x:c>
      <x:c r="F31" s="34" t="n">
        <x:f>$B$6*1000000/(($B$20*(1-$A31)+$B$21*$A31)*(1+F$30))</x:f>
        <x:v>26.227795148247953</x:v>
      </x:c>
      <x:c r="G31" s="26" t="str">
        <x:v>Mostly residential interests</x:v>
      </x:c>
      <x:c r="H31" s="4"/>
      <x:c r="I31" s="4"/>
      <x:c r="J31" s="4"/>
    </x:row>
    <x:row r="32">
      <x:c r="A32" s="32" t="n">
        <x:v>0.25</x:v>
      </x:c>
      <x:c r="B32" s="34" t="n">
        <x:f>$B$6*1000000/(($B$20*(1-$A32)+$B$21*$A32)*(1+B$30))</x:f>
        <x:v>23.706673754152803</x:v>
      </x:c>
      <x:c r="C32" s="34" t="n">
        <x:f>$B$6*1000000/(($B$20*(1-$A32)+$B$21*$A32)*(1+C$30))</x:f>
        <x:v>22.758406803986688</x:v>
      </x:c>
      <x:c r="D32" s="34" t="n">
        <x:f>$B$6*1000000/(($B$20*(1-$A32)+$B$21*$A32)*(1+D$30))</x:f>
        <x:v>21.88308346537182</x:v>
      </x:c>
      <x:c r="E32" s="34" t="n">
        <x:f>$B$6*1000000/(($B$20*(1-$A32)+$B$21*$A32)*(1+E$30))</x:f>
        <x:v>21.072598892580267</x:v>
      </x:c>
      <x:c r="F32" s="34" t="n">
        <x:f>$B$6*1000000/(($B$20*(1-$A32)+$B$21*$A32)*(1+F$30))</x:f>
        <x:v>20.320006074988115</x:v>
      </x:c>
      <x:c r="G32" s="26" t="str">
        <x:v>Base mixed-use assumption</x:v>
      </x:c>
      <x:c r="H32" s="4"/>
      <x:c r="I32" s="4"/>
      <x:c r="J32" s="4"/>
    </x:row>
    <x:row r="33">
      <x:c r="A33" s="32" t="n">
        <x:v>0.4</x:v>
      </x:c>
      <x:c r="B33" s="34" t="n">
        <x:f>$B$6*1000000/(($B$20*(1-$A33)+$B$21*$A33)*(1+B$30))</x:f>
        <x:v>19.34845119305855</x:v>
      </x:c>
      <x:c r="C33" s="34" t="n">
        <x:f>$B$6*1000000/(($B$20*(1-$A33)+$B$21*$A33)*(1+C$30))</x:f>
        <x:v>18.57451314533621</x:v>
      </x:c>
      <x:c r="D33" s="34" t="n">
        <x:f>$B$6*1000000/(($B$20*(1-$A33)+$B$21*$A33)*(1+D$30))</x:f>
        <x:v>17.86010879359251</x:v>
      </x:c>
      <x:c r="E33" s="34" t="n">
        <x:f>$B$6*1000000/(($B$20*(1-$A33)+$B$21*$A33)*(1+E$30))</x:f>
        <x:v>17.19862328271871</x:v>
      </x:c>
      <x:c r="F33" s="34" t="n">
        <x:f>$B$6*1000000/(($B$20*(1-$A33)+$B$21*$A33)*(1+F$30))</x:f>
        <x:v>16.58438673690733</x:v>
      </x:c>
      <x:c r="G33" s="26" t="str">
        <x:v>Heavier ground-floor commercial mix</x:v>
      </x:c>
      <x:c r="H33" s="4"/>
      <x:c r="I33" s="4"/>
      <x:c r="J33" s="4"/>
    </x:row>
    <x:row r="34">
      <x:c r="A34" s="32" t="n">
        <x:v>0.6</x:v>
      </x:c>
      <x:c r="B34" s="34" t="n">
        <x:f>$B$6*1000000/(($B$20*(1-$A34)+$B$21*$A34)*(1+B$30))</x:f>
        <x:v>15.539435540069672</x:v>
      </x:c>
      <x:c r="C34" s="34" t="n">
        <x:f>$B$6*1000000/(($B$20*(1-$A34)+$B$21*$A34)*(1+C$30))</x:f>
        <x:v>14.917858118466885</x:v>
      </x:c>
      <x:c r="D34" s="34" t="n">
        <x:f>$B$6*1000000/(($B$20*(1-$A34)+$B$21*$A34)*(1+D$30))</x:f>
        <x:v>14.344094344679696</x:v>
      </x:c>
      <x:c r="E34" s="34" t="n">
        <x:f>$B$6*1000000/(($B$20*(1-$A34)+$B$21*$A34)*(1+E$30))</x:f>
        <x:v>13.812831591173042</x:v>
      </x:c>
      <x:c r="F34" s="34" t="n">
        <x:f>$B$6*1000000/(($B$20*(1-$A34)+$B$21*$A34)*(1+F$30))</x:f>
        <x:v>13.319516177202576</x:v>
      </x:c>
      <x:c r="G34" s="26" t="str">
        <x:v>Commercial-heavy ownership mix</x:v>
      </x:c>
      <x:c r="H34" s="4"/>
      <x:c r="I34" s="4"/>
      <x:c r="J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>
      <x:c r="A37" s="175" t="str">
        <x:v>Owner Premium/(Discount) – Site Area vs Ownership Interests</x:v>
      </x:c>
      <x:c r="B37" s="175"/>
      <x:c r="C37" s="175"/>
      <x:c r="D37" s="175"/>
      <x:c r="E37" s="175"/>
      <x:c r="F37" s="175"/>
      <x:c r="G37" s="175"/>
      <x:c r="H37" s="175"/>
      <x:c r="I37" s="4"/>
      <x:c r="J37" s="4"/>
    </x:row>
    <x:row r="38">
      <x:c r="A38" s="26" t="str">
        <x:v>Site area / Owner count</x:v>
      </x:c>
      <x:c r="B38" s="26" t="n">
        <x:v>20</x:v>
      </x:c>
      <x:c r="C38" s="26" t="n">
        <x:v>30</x:v>
      </x:c>
      <x:c r="D38" s="26" t="n">
        <x:v>40</x:v>
      </x:c>
      <x:c r="E38" s="26" t="n">
        <x:v>50</x:v>
      </x:c>
      <x:c r="F38" s="26" t="n">
        <x:v>60</x:v>
      </x:c>
      <x:c r="G38" s="26" t="n">
        <x:v>80</x:v>
      </x:c>
      <x:c r="H38" s="26" t="str">
        <x:v>Meaning</x:v>
      </x:c>
      <x:c r="I38" s="4"/>
      <x:c r="J38" s="4"/>
    </x:row>
    <x:row r="39">
      <x:c r="A39" s="186" t="n">
        <x:v>0.75</x:v>
      </x:c>
      <x:c r="B39" s="187" t="n">
        <x:f>(($B$6*1000000*$A39)/B$38)/$B$22-1</x:f>
        <x:v>0.06680031893687621</x:v>
      </x:c>
      <x:c r="C39" s="187" t="n">
        <x:f>(($B$6*1000000*$A39)/C$38)/$B$22-1</x:f>
        <x:v>-0.2887997873754159</x:v>
      </x:c>
      <x:c r="D39" s="187" t="n">
        <x:f>(($B$6*1000000*$A39)/D$38)/$B$22-1</x:f>
        <x:v>-0.4665998405315619</x:v>
      </x:c>
      <x:c r="E39" s="187" t="n">
        <x:f>(($B$6*1000000*$A39)/E$38)/$B$22-1</x:f>
        <x:v>-0.5732798724252495</x:v>
      </x:c>
      <x:c r="F39" s="187" t="n">
        <x:f>(($B$6*1000000*$A39)/F$38)/$B$22-1</x:f>
        <x:v>-0.644399893687708</x:v>
      </x:c>
      <x:c r="G39" s="187" t="n">
        <x:f>(($B$6*1000000*$A39)/G$38)/$B$22-1</x:f>
        <x:v>-0.733299920265781</x:v>
      </x:c>
      <x:c r="H39" s="26" t="str">
        <x:v>Premium/(discount) to weighted current value</x:v>
      </x:c>
      <x:c r="I39" s="4"/>
      <x:c r="J39" s="4"/>
    </x:row>
    <x:row r="40">
      <x:c r="A40" s="186" t="n">
        <x:v>1</x:v>
      </x:c>
      <x:c r="B40" s="187" t="n">
        <x:f>(($B$6*1000000*$A40)/B$38)/$B$22-1</x:f>
        <x:v>0.422400425249168</x:v>
      </x:c>
      <x:c r="C40" s="187" t="n">
        <x:f>(($B$6*1000000*$A40)/C$38)/$B$22-1</x:f>
        <x:v>-0.051733049833887934</x:v>
      </x:c>
      <x:c r="D40" s="187" t="n">
        <x:f>(($B$6*1000000*$A40)/D$38)/$B$22-1</x:f>
        <x:v>-0.288799787375416</x:v>
      </x:c>
      <x:c r="E40" s="187" t="n">
        <x:f>(($B$6*1000000*$A40)/E$38)/$B$22-1</x:f>
        <x:v>-0.43103982990033274</x:v>
      </x:c>
      <x:c r="F40" s="187" t="n">
        <x:f>(($B$6*1000000*$A40)/F$38)/$B$22-1</x:f>
        <x:v>-0.525866524916944</x:v>
      </x:c>
      <x:c r="G40" s="187" t="n">
        <x:f>(($B$6*1000000*$A40)/G$38)/$B$22-1</x:f>
        <x:v>-0.644399893687708</x:v>
      </x:c>
      <x:c r="H40" s="26" t="str">
        <x:v>Premium/(discount) to weighted current value</x:v>
      </x:c>
      <x:c r="I40" s="4"/>
      <x:c r="J40" s="4"/>
    </x:row>
    <x:row r="41">
      <x:c r="A41" s="186" t="n">
        <x:v>1.25</x:v>
      </x:c>
      <x:c r="B41" s="187" t="n">
        <x:f>(($B$6*1000000*$A41)/B$38)/$B$22-1</x:f>
        <x:v>0.7780005315614602</x:v>
      </x:c>
      <x:c r="C41" s="187" t="n">
        <x:f>(($B$6*1000000*$A41)/C$38)/$B$22-1</x:f>
        <x:v>0.18533368770764014</x:v>
      </x:c>
      <x:c r="D41" s="187" t="n">
        <x:f>(($B$6*1000000*$A41)/D$38)/$B$22-1</x:f>
        <x:v>-0.1109997342192699</x:v>
      </x:c>
      <x:c r="E41" s="187" t="n">
        <x:f>(($B$6*1000000*$A41)/E$38)/$B$22-1</x:f>
        <x:v>-0.288799787375416</x:v>
      </x:c>
      <x:c r="F41" s="187" t="n">
        <x:f>(($B$6*1000000*$A41)/F$38)/$B$22-1</x:f>
        <x:v>-0.40733315614617993</x:v>
      </x:c>
      <x:c r="G41" s="187" t="n">
        <x:f>(($B$6*1000000*$A41)/G$38)/$B$22-1</x:f>
        <x:v>-0.555499867109635</x:v>
      </x:c>
      <x:c r="H41" s="26" t="str">
        <x:v>Premium/(discount) to weighted current value</x:v>
      </x:c>
      <x:c r="I41" s="4"/>
      <x:c r="J41" s="4"/>
    </x:row>
    <x:row r="42">
      <x:c r="A42" s="186" t="n">
        <x:v>1.5</x:v>
      </x:c>
      <x:c r="B42" s="187" t="n">
        <x:f>(($B$6*1000000*$A42)/B$38)/$B$22-1</x:f>
        <x:v>1.1336006378737524</x:v>
      </x:c>
      <x:c r="C42" s="187" t="n">
        <x:f>(($B$6*1000000*$A42)/C$38)/$B$22-1</x:f>
        <x:v>0.4224004252491682</x:v>
      </x:c>
      <x:c r="D42" s="187" t="n">
        <x:f>(($B$6*1000000*$A42)/D$38)/$B$22-1</x:f>
        <x:v>0.06680031893687621</x:v>
      </x:c>
      <x:c r="E42" s="187" t="n">
        <x:f>(($B$6*1000000*$A42)/E$38)/$B$22-1</x:f>
        <x:v>-0.14655974485049905</x:v>
      </x:c>
      <x:c r="F42" s="187" t="n">
        <x:f>(($B$6*1000000*$A42)/F$38)/$B$22-1</x:f>
        <x:v>-0.2887997873754159</x:v>
      </x:c>
      <x:c r="G42" s="187" t="n">
        <x:f>(($B$6*1000000*$A42)/G$38)/$B$22-1</x:f>
        <x:v>-0.4665998405315619</x:v>
      </x:c>
      <x:c r="H42" s="26" t="str">
        <x:v>Premium/(discount) to weighted current value</x:v>
      </x:c>
      <x:c r="I42" s="4"/>
      <x:c r="J42" s="4"/>
    </x:row>
    <x:row r="43">
      <x:c r="A43" s="186" t="n">
        <x:v>2</x:v>
      </x:c>
      <x:c r="B43" s="187" t="n">
        <x:f>(($B$6*1000000*$A43)/B$38)/$B$22-1</x:f>
        <x:v>1.844800850498336</x:v>
      </x:c>
      <x:c r="C43" s="187" t="n">
        <x:f>(($B$6*1000000*$A43)/C$38)/$B$22-1</x:f>
        <x:v>0.8965339003322241</x:v>
      </x:c>
      <x:c r="D43" s="187" t="n">
        <x:f>(($B$6*1000000*$A43)/D$38)/$B$22-1</x:f>
        <x:v>0.422400425249168</x:v>
      </x:c>
      <x:c r="E43" s="187" t="n">
        <x:f>(($B$6*1000000*$A43)/E$38)/$B$22-1</x:f>
        <x:v>0.13792034019933452</x:v>
      </x:c>
      <x:c r="F43" s="187" t="n">
        <x:f>(($B$6*1000000*$A43)/F$38)/$B$22-1</x:f>
        <x:v>-0.051733049833887934</x:v>
      </x:c>
      <x:c r="G43" s="187" t="n">
        <x:f>(($B$6*1000000*$A43)/G$38)/$B$22-1</x:f>
        <x:v>-0.288799787375416</x:v>
      </x:c>
      <x:c r="H43" s="26" t="str">
        <x:v>Premium/(discount) to weighted current value</x:v>
      </x:c>
      <x:c r="I43" s="4"/>
      <x:c r="J43" s="4"/>
    </x:row>
    <x:row r="44">
      <x:c r="A44" s="186" t="n">
        <x:v>2.5</x:v>
      </x:c>
      <x:c r="B44" s="187" t="n">
        <x:f>(($B$6*1000000*$A44)/B$38)/$B$22-1</x:f>
        <x:v>2.5560010631229204</x:v>
      </x:c>
      <x:c r="C44" s="187" t="n">
        <x:f>(($B$6*1000000*$A44)/C$38)/$B$22-1</x:f>
        <x:v>1.3706673754152803</x:v>
      </x:c>
      <x:c r="D44" s="187" t="n">
        <x:f>(($B$6*1000000*$A44)/D$38)/$B$22-1</x:f>
        <x:v>0.7780005315614602</x:v>
      </x:c>
      <x:c r="E44" s="187" t="n">
        <x:f>(($B$6*1000000*$A44)/E$38)/$B$22-1</x:f>
        <x:v>0.422400425249168</x:v>
      </x:c>
      <x:c r="F44" s="187" t="n">
        <x:f>(($B$6*1000000*$A44)/F$38)/$B$22-1</x:f>
        <x:v>0.18533368770764014</x:v>
      </x:c>
      <x:c r="G44" s="187" t="n">
        <x:f>(($B$6*1000000*$A44)/G$38)/$B$22-1</x:f>
        <x:v>-0.1109997342192699</x:v>
      </x:c>
      <x:c r="H44" s="26" t="str">
        <x:v>Premium/(discount) to weighted current value</x:v>
      </x:c>
      <x:c r="I44" s="4"/>
      <x:c r="J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</x:row>
    <x:row r="47">
      <x:c r="A47" s="176" t="str">
        <x:v>Current Read – What Must Be True for the Deal to Work</x:v>
      </x:c>
      <x:c r="B47" s="176"/>
      <x:c r="C47" s="176"/>
      <x:c r="D47" s="176"/>
      <x:c r="E47" s="176"/>
      <x:c r="F47" s="176"/>
      <x:c r="G47" s="176"/>
      <x:c r="H47" s="176"/>
      <x:c r="I47" s="176"/>
      <x:c r="J47" s="176"/>
    </x:row>
    <x:row r="48">
      <x:c r="A48" s="173" t="str">
        <x:v>Under the base case, Taman Taiping can support only about 22 mixed residential/commercial ownership interests per acre if 25% of interests carry ground-floor commercial economics and owners require ~30% uplift. This makes legal ownership density the key gating variable. If actual strata density is materially above that threshold, the base PR 1:4 / RM1,100 psf scenario cannot acquire every interest at a 30% premium. The thesis would then require one or more of: larger official site area, fewer legal interests, additional redevelopment intensity, higher achievable ASP, lower development cost, or a JV/replacement-unit structure that reduces cash compensation. Exact DBKL polygon/site area and the strata roll are therefore the highest-priority diligence items.</x:v>
      </x:c>
      <x:c r="B48" s="173"/>
      <x:c r="C48" s="173"/>
      <x:c r="D48" s="173"/>
      <x:c r="E48" s="173"/>
      <x:c r="F48" s="173"/>
      <x:c r="G48" s="173"/>
      <x:c r="H48" s="173"/>
      <x:c r="I48" s="173"/>
      <x:c r="J48" s="173"/>
    </x:row>
    <x:row r="49">
      <x:c r="A49" s="173"/>
      <x:c r="B49" s="173"/>
      <x:c r="C49" s="173"/>
      <x:c r="D49" s="173"/>
      <x:c r="E49" s="173"/>
      <x:c r="F49" s="173"/>
      <x:c r="G49" s="173"/>
      <x:c r="H49" s="173"/>
      <x:c r="I49" s="173"/>
      <x:c r="J49" s="173"/>
    </x:row>
    <x:row r="50">
      <x:c r="A50" s="173"/>
      <x:c r="B50" s="173"/>
      <x:c r="C50" s="173"/>
      <x:c r="D50" s="173"/>
      <x:c r="E50" s="173"/>
      <x:c r="F50" s="173"/>
      <x:c r="G50" s="173"/>
      <x:c r="H50" s="173"/>
      <x:c r="I50" s="173"/>
      <x:c r="J50" s="173"/>
    </x:row>
    <x:row r="51">
      <x:c r="A51" s="173"/>
      <x:c r="B51" s="173"/>
      <x:c r="C51" s="173"/>
      <x:c r="D51" s="173"/>
      <x:c r="E51" s="173"/>
      <x:c r="F51" s="173"/>
      <x:c r="G51" s="173"/>
      <x:c r="H51" s="173"/>
      <x:c r="I51" s="173"/>
      <x:c r="J51" s="173"/>
    </x:row>
    <x:row r="52">
      <x:c r="A52" s="173"/>
      <x:c r="B52" s="173"/>
      <x:c r="C52" s="173"/>
      <x:c r="D52" s="173"/>
      <x:c r="E52" s="173"/>
      <x:c r="F52" s="173"/>
      <x:c r="G52" s="173"/>
      <x:c r="H52" s="173"/>
      <x:c r="I52" s="173"/>
      <x:c r="J52" s="173"/>
    </x:row>
    <x:row r="53">
      <x:c r="A53" s="173"/>
      <x:c r="B53" s="173"/>
      <x:c r="C53" s="173"/>
      <x:c r="D53" s="173"/>
      <x:c r="E53" s="173"/>
      <x:c r="F53" s="173"/>
      <x:c r="G53" s="173"/>
      <x:c r="H53" s="173"/>
      <x:c r="I53" s="173"/>
      <x:c r="J53" s="173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>
      <x:c r="A56" s="175" t="str">
        <x:v>Public Evidence Used</x:v>
      </x:c>
      <x:c r="B56" s="175"/>
      <x:c r="C56" s="175"/>
      <x:c r="D56" s="175"/>
      <x:c r="E56" s="175"/>
      <x:c r="F56" s="175"/>
      <x:c r="G56" s="4"/>
      <x:c r="H56" s="4"/>
      <x:c r="I56" s="4"/>
      <x:c r="J56" s="4"/>
    </x:row>
    <x:row r="57">
      <x:c r="A57" s="26" t="str">
        <x:v>Evidence</x:v>
      </x:c>
      <x:c r="B57" s="26" t="str">
        <x:v>Finding</x:v>
      </x:c>
      <x:c r="C57" s="26" t="str">
        <x:v>URL</x:v>
      </x:c>
      <x:c r="D57" s="4"/>
      <x:c r="E57" s="4"/>
      <x:c r="F57" s="4"/>
      <x:c r="G57" s="4"/>
      <x:c r="H57" s="4"/>
      <x:c r="I57" s="4"/>
      <x:c r="J57" s="4"/>
    </x:row>
    <x:row r="58">
      <x:c r="A58" s="26" t="str">
        <x:v>PTKL2040 Site 6</x:v>
      </x:c>
      <x:c r="B58" s="26" t="str">
        <x:v>R3; base PR 1:4; comprehensive whole-site or block cluster; access through Jalan Tandok.</x:v>
      </x:c>
      <x:c r="C58" s="26" t="str">
        <x:v>https://ppkl.dbkl.gov.my/wp-content/uploads/2025/06/1.-VOLUME-1-PART-1_DEVELOPMENT-CONTROL_.pdf</x:v>
      </x:c>
      <x:c r="D58" s="4"/>
      <x:c r="E58" s="4"/>
      <x:c r="F58" s="4"/>
      <x:c r="G58" s="4"/>
      <x:c r="H58" s="4"/>
      <x:c r="I58" s="4"/>
      <x:c r="J58" s="4"/>
    </x:row>
    <x:row r="59">
      <x:c r="A59" s="26" t="str">
        <x:v>Taman Taiping property type</x:v>
      </x:c>
      <x:c r="B59" s="26" t="str">
        <x:v>Freehold residential strata / flat.</x:v>
      </x:c>
      <x:c r="C59" s="26" t="str">
        <x:v>https://www.iproperty.com.my/bm/bangunan/taman-taiping-pty_65415/</x:v>
      </x:c>
      <x:c r="D59" s="4"/>
      <x:c r="E59" s="4"/>
      <x:c r="F59" s="4"/>
      <x:c r="G59" s="4"/>
      <x:c r="H59" s="4"/>
      <x:c r="I59" s="4"/>
      <x:c r="J59" s="4"/>
    </x:row>
    <x:row r="60">
      <x:c r="A60" s="26" t="str">
        <x:v>Residential transaction</x:v>
      </x:c>
      <x:c r="B60" s="26" t="str">
        <x:v>Public Brickz sample: RM470,000 median, RM295 psf; only one transaction in current sample.</x:v>
      </x:c>
      <x:c r="C60" s="26" t="str">
        <x:v>https://www.brickz.my/transactions/residential/kuala-lumpur/bangsar/</x:v>
      </x:c>
      <x:c r="D60" s="4"/>
      <x:c r="E60" s="4"/>
      <x:c r="F60" s="4"/>
      <x:c r="G60" s="4"/>
      <x:c r="H60" s="4"/>
      <x:c r="I60" s="4"/>
      <x:c r="J60" s="4"/>
    </x:row>
    <x:row r="61">
      <x:c r="A61" s="26" t="str">
        <x:v>Ground-floor shop evidence</x:v>
      </x:c>
      <x:c r="B61" s="26" t="str">
        <x:v>1,540 sf / 22x70; asking rent RM8,000/month.</x:v>
      </x:c>
      <x:c r="C61" s="26" t="str">
        <x:v>https://www.iproperty.com.my/property/bangsar/rent-500275849/</x:v>
      </x:c>
      <x:c r="D61" s="4"/>
      <x:c r="E61" s="4"/>
      <x:c r="F61" s="4"/>
      <x:c r="G61" s="4"/>
      <x:c r="H61" s="4"/>
      <x:c r="I61" s="4"/>
      <x:c r="J61" s="4"/>
    </x:row>
    <x:row r="62">
      <x:c r="A62" s="26" t="str">
        <x:v>Street-front commercial activity</x:v>
      </x:c>
      <x:c r="B62" s="26" t="str">
        <x:v>Multiple active ground-floor commercial addresses along Jalan Tandok / Taman Taiping.</x:v>
      </x:c>
      <x:c r="C62" s="26" t="str">
        <x:v>https://www.hokucare.com/a/4036/klinik-pergigian-23-bangsar-dental</x:v>
      </x:c>
      <x:c r="D62" s="4"/>
      <x:c r="E62" s="4"/>
      <x:c r="F62" s="4"/>
      <x:c r="G62" s="4"/>
      <x:c r="H62" s="4"/>
      <x:c r="I62" s="4"/>
      <x:c r="J62" s="4"/>
    </x:row>
    <x:row r="63">
      <x:c r="A63" s="26" t="str">
        <x:v>DBKL GIS availability</x:v>
      </x:c>
      <x:c r="B63" s="26" t="str">
        <x:v>Pembangunan Semula Khusus Polygon PTKL2040 and lot base-map layers are available through eMap.</x:v>
      </x:c>
      <x:c r="C63" s="26" t="str">
        <x:v>https://cps.dbkl.gov.my/ePlanCPS/senaraiProduk.aspx</x:v>
      </x:c>
      <x:c r="D63" s="4"/>
      <x:c r="E63" s="4"/>
      <x:c r="F63" s="4"/>
      <x:c r="G63" s="4"/>
      <x:c r="H63" s="4"/>
      <x:c r="I63" s="4"/>
      <x:c r="J63" s="4"/>
    </x:row>
    <x:row r="64">
      <x:c r="A64" s="26" t="str">
        <x:v>DBKL eMap fee</x:v>
      </x:c>
      <x:c r="B64" s="26" t="str">
        <x:v>Digital PDF / GIS shapefile listed at RM483/MB; official polygon is the cleanest way to lock land area.</x:v>
      </x:c>
      <x:c r="C64" s="26" t="str">
        <x:v>https://cps.dbkl.gov.my/eplancps/Default.aspx</x:v>
      </x:c>
      <x:c r="D64" s="4"/>
      <x:c r="E64" s="4"/>
      <x:c r="F64" s="4"/>
      <x:c r="G64" s="4"/>
      <x:c r="H64" s="4"/>
      <x:c r="I64" s="4"/>
      <x:c r="J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</x:sheetData>
  <x:mergeCells>
    <x:mergeCell ref="A1:J1"/>
    <x:mergeCell ref="A3:F3"/>
    <x:mergeCell ref="A18:F18"/>
    <x:mergeCell ref="A29:G29"/>
    <x:mergeCell ref="A37:H37"/>
    <x:mergeCell ref="A47:J47"/>
    <x:mergeCell ref="A48:J53"/>
    <x:mergeCell ref="A56:F56"/>
  </x:mergeCells>
  <x:conditionalFormatting sqref="B31:F3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B39:G44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3">
    <x:tablePart xmlns:r="http://schemas.openxmlformats.org/officeDocument/2006/relationships" r:id="Rdd8514e97b3d4397"/>
    <x:tablePart xmlns:r="http://schemas.openxmlformats.org/officeDocument/2006/relationships" r:id="Rad65776428fc4dc3"/>
    <x:tablePart xmlns:r="http://schemas.openxmlformats.org/officeDocument/2006/relationships" r:id="Rb93aa37e95ba4f3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8" hidden="0" customWidth="1"/>
    <x:col min="5" max="5" width="55" hidden="0" customWidth="1"/>
    <x:col min="6" max="6" width="4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02" t="str">
        <x:v>Taman Taiping – Free Public-Data Diligence Proxy</x:v>
      </x:c>
      <x:c r="B1" s="202"/>
      <x:c r="C1" s="202"/>
      <x:c r="D1" s="202"/>
      <x:c r="E1" s="202"/>
      <x:c r="F1" s="202"/>
      <x:c r="G1" s="202"/>
      <x:c r="H1" s="202"/>
      <x:c r="I1" s="202"/>
      <x:c r="J1" s="202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203" t="str">
        <x:v>1. Approximate Site Area from OpenStreetMap Geometry</x:v>
      </x:c>
      <x:c r="B3" s="203"/>
      <x:c r="C3" s="203"/>
      <x:c r="D3" s="203"/>
      <x:c r="E3" s="203"/>
      <x:c r="F3" s="203"/>
      <x:c r="G3" s="4"/>
      <x:c r="H3" s="4"/>
      <x:c r="I3" s="4"/>
      <x:c r="J3" s="4"/>
    </x:row>
    <x:row r="4">
      <x:c r="A4" s="26" t="str">
        <x:v>Metric</x:v>
      </x:c>
      <x:c r="B4" s="26" t="str">
        <x:v>Value</x:v>
      </x:c>
      <x:c r="C4" s="26" t="str">
        <x:v>Unit</x:v>
      </x:c>
      <x:c r="D4" s="26" t="str">
        <x:v>Status</x:v>
      </x:c>
      <x:c r="E4" s="26" t="str">
        <x:v>Source</x:v>
      </x:c>
      <x:c r="F4" s="26" t="str">
        <x:v>Comment</x:v>
      </x:c>
      <x:c r="G4" s="4"/>
      <x:c r="H4" s="4"/>
      <x:c r="I4" s="4"/>
      <x:c r="J4" s="4"/>
    </x:row>
    <x:row r="5">
      <x:c r="A5" s="26" t="str">
        <x:v>OSM way</x:v>
      </x:c>
      <x:c r="B5" s="26" t="str">
        <x:v>890986893</x:v>
      </x:c>
      <x:c r="C5" s="26" t="str"/>
      <x:c r="D5" s="26" t="str">
        <x:v>Public mapping</x:v>
      </x:c>
      <x:c r="E5" s="26" t="str">
        <x:v>https://www.openstreetmap.org/way/890986893</x:v>
      </x:c>
      <x:c r="F5" s="26" t="str">
        <x:v>Taman Taiping residential/neighbourhood polygon; not DBKL legal boundary.</x:v>
      </x:c>
      <x:c r="G5" s="4"/>
      <x:c r="H5" s="4"/>
      <x:c r="I5" s="4"/>
      <x:c r="J5" s="4"/>
    </x:row>
    <x:row r="6">
      <x:c r="A6" s="26" t="str">
        <x:v>Unique boundary nodes</x:v>
      </x:c>
      <x:c r="B6" s="26" t="n">
        <x:v>8</x:v>
      </x:c>
      <x:c r="C6" s="26" t="str">
        <x:v>nodes</x:v>
      </x:c>
      <x:c r="D6" s="26" t="str">
        <x:v>Public mapping</x:v>
      </x:c>
      <x:c r="E6" s="26" t="str">
        <x:v>https://www.openstreetmap.org/way/890986893</x:v>
      </x:c>
      <x:c r="F6" s="26" t="str">
        <x:v>Way contains 9 nodes including repeated closing node.</x:v>
      </x:c>
      <x:c r="G6" s="4"/>
      <x:c r="H6" s="4"/>
      <x:c r="I6" s="4"/>
      <x:c r="J6" s="4"/>
    </x:row>
    <x:row r="7">
      <x:c r="A7" s="26" t="str">
        <x:v>Calculated polygon area</x:v>
      </x:c>
      <x:c r="B7" s="206" t="n">
        <x:v>5215.0475</x:v>
      </x:c>
      <x:c r="C7" s="26" t="str">
        <x:v>sq m</x:v>
      </x:c>
      <x:c r="D7" s="26" t="str">
        <x:v>Calculated from OSM node coordinates</x:v>
      </x:c>
      <x:c r="E7" s="26" t="str">
        <x:v>https://www.openstreetmap.org/way/890986893</x:v>
      </x:c>
      <x:c r="F7" s="26" t="str">
        <x:v>Projected to UTM 47N; screening estimate only.</x:v>
      </x:c>
      <x:c r="G7" s="4"/>
      <x:c r="H7" s="4"/>
      <x:c r="I7" s="4"/>
      <x:c r="J7" s="4"/>
    </x:row>
    <x:row r="8">
      <x:c r="A8" s="26" t="str">
        <x:v>Calculated polygon area</x:v>
      </x:c>
      <x:c r="B8" s="206" t="n">
        <x:v>56134.2</x:v>
      </x:c>
      <x:c r="C8" s="26" t="str">
        <x:v>sq ft</x:v>
      </x:c>
      <x:c r="D8" s="26" t="str">
        <x:v>Calculated</x:v>
      </x:c>
      <x:c r="E8" s="26" t="str"/>
      <x:c r="F8" s="26" t="str"/>
      <x:c r="G8" s="4"/>
      <x:c r="H8" s="4"/>
      <x:c r="I8" s="4"/>
      <x:c r="J8" s="4"/>
    </x:row>
    <x:row r="9">
      <x:c r="A9" s="26" t="str">
        <x:v>Calculated polygon area</x:v>
      </x:c>
      <x:c r="B9" s="206" t="n">
        <x:v>1.2886663</x:v>
      </x:c>
      <x:c r="C9" s="26" t="str">
        <x:v>acres</x:v>
      </x:c>
      <x:c r="D9" s="26" t="str">
        <x:v>Calculated</x:v>
      </x:c>
      <x:c r="E9" s="26" t="str"/>
      <x:c r="F9" s="26" t="str"/>
      <x:c r="G9" s="4"/>
      <x:c r="H9" s="4"/>
      <x:c r="I9" s="4"/>
      <x:c r="J9" s="4"/>
    </x:row>
    <x:row r="10">
      <x:c r="A10" s="26" t="str">
        <x:v>Official DBKL area status</x:v>
      </x:c>
      <x:c r="B10" s="26" t="str">
        <x:v>Not yet verified</x:v>
      </x:c>
      <x:c r="C10" s="26" t="str"/>
      <x:c r="D10" s="26" t="str">
        <x:v>Gap</x:v>
      </x:c>
      <x:c r="E10" s="26" t="str">
        <x:v>https://cps.dbkl.gov.my/ePlanCPS/senaraiProduk.aspx</x:v>
      </x:c>
      <x:c r="F10" s="26" t="str">
        <x:v>Replace proxy when official Site 6 polygon/lot data is obtained.</x:v>
      </x:c>
      <x:c r="G10" s="4"/>
      <x:c r="H10" s="4"/>
      <x:c r="I10" s="4"/>
      <x:c r="J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>
      <x:c r="A13" s="203" t="str">
        <x:v>2. Public Address Evidence – Ownership Density Warning</x:v>
      </x:c>
      <x:c r="B13" s="203"/>
      <x:c r="C13" s="203"/>
      <x:c r="D13" s="203"/>
      <x:c r="E13" s="203"/>
      <x:c r="F13" s="203"/>
      <x:c r="G13" s="4"/>
      <x:c r="H13" s="4"/>
      <x:c r="I13" s="4"/>
      <x:c r="J13" s="4"/>
    </x:row>
    <x:row r="14">
      <x:c r="A14" s="26" t="str">
        <x:v>Evidence</x:v>
      </x:c>
      <x:c r="B14" s="26" t="str">
        <x:v>Observed address / format</x:v>
      </x:c>
      <x:c r="C14" s="26" t="str">
        <x:v>What it suggests</x:v>
      </x:c>
      <x:c r="D14" s="26" t="str">
        <x:v>Status</x:v>
      </x:c>
      <x:c r="E14" s="26" t="str">
        <x:v>Source</x:v>
      </x:c>
      <x:c r="F14" s="26" t="str">
        <x:v>Caution</x:v>
      </x:c>
      <x:c r="G14" s="4"/>
      <x:c r="H14" s="4"/>
      <x:c r="I14" s="4"/>
      <x:c r="J14" s="4"/>
    </x:row>
    <x:row r="15">
      <x:c r="A15" s="26" t="str">
        <x:v>Frontage address</x:v>
      </x:c>
      <x:c r="B15" s="26" t="str">
        <x:v>21-G, Taman Taiping, Jalan Tandok</x:v>
      </x:c>
      <x:c r="C15" s="26" t="str">
        <x:v>Ground-floor commercial frontage exists at low end of observed sequence</x:v>
      </x:c>
      <x:c r="D15" s="26" t="str">
        <x:v>Confirmed public address</x:v>
      </x:c>
      <x:c r="E15" s="26" t="str">
        <x:v>https://fnbsupplier.com/malaysia/central-kitchen-malaysia/kitchenco</x:v>
      </x:c>
      <x:c r="F15" s="26" t="str">
        <x:v>Address evidence ≠ legal strata count.</x:v>
      </x:c>
      <x:c r="G15" s="4"/>
      <x:c r="H15" s="4"/>
      <x:c r="I15" s="4"/>
      <x:c r="J15" s="4"/>
    </x:row>
    <x:row r="16">
      <x:c r="A16" s="26" t="str">
        <x:v>Frontage address</x:v>
      </x:c>
      <x:c r="B16" s="26" t="str">
        <x:v>23 (Ground Floor)</x:v>
      </x:c>
      <x:c r="C16" s="26" t="str">
        <x:v>Separate ground-floor occupation</x:v>
      </x:c>
      <x:c r="D16" s="26" t="str">
        <x:v>Confirmed public address</x:v>
      </x:c>
      <x:c r="E16" s="26" t="str">
        <x:v>https://www.hokucare.com/a/4036/klinik-pergigian-23-bangsar-dental</x:v>
      </x:c>
      <x:c r="F16" s="26" t="str"/>
      <x:c r="G16" s="4"/>
      <x:c r="H16" s="4"/>
      <x:c r="I16" s="4"/>
      <x:c r="J16" s="4"/>
    </x:row>
    <x:row r="17">
      <x:c r="A17" s="26" t="str">
        <x:v>Frontage address</x:v>
      </x:c>
      <x:c r="B17" s="26" t="str">
        <x:v>25, Jalan Tandok</x:v>
      </x:c>
      <x:c r="C17" s="26" t="str">
        <x:v>Separate frontage premise</x:v>
      </x:c>
      <x:c r="D17" s="26" t="str">
        <x:v>Confirmed public address</x:v>
      </x:c>
      <x:c r="E17" s="26" t="str">
        <x:v>https://www.waze.com/live-map/directions/epetani-bangsar-jalan-tandok-25-kuala-lumpur?to=place.w.66650143.666304824.25888545</x:v>
      </x:c>
      <x:c r="F17" s="26" t="str"/>
      <x:c r="G17" s="4"/>
      <x:c r="H17" s="4"/>
      <x:c r="I17" s="4"/>
      <x:c r="J17" s="4"/>
    </x:row>
    <x:row r="18">
      <x:c r="A18" s="26" t="str">
        <x:v>Frontage address</x:v>
      </x:c>
      <x:c r="B18" s="26" t="str">
        <x:v>27-G &amp; 29-G</x:v>
      </x:c>
      <x:c r="C18" s="26" t="str">
        <x:v>Two ground-floor premises explicitly referenced</x:v>
      </x:c>
      <x:c r="D18" s="26" t="str">
        <x:v>Confirmed public address</x:v>
      </x:c>
      <x:c r="E18" s="26" t="str">
        <x:v>https://menurahmah.kpdn.gov.my/</x:v>
      </x:c>
      <x:c r="F18" s="26" t="str"/>
      <x:c r="G18" s="4"/>
      <x:c r="H18" s="4"/>
      <x:c r="I18" s="4"/>
      <x:c r="J18" s="4"/>
    </x:row>
    <x:row r="19">
      <x:c r="A19" s="26" t="str">
        <x:v>Frontage address</x:v>
      </x:c>
      <x:c r="B19" s="26" t="str">
        <x:v>31, Jalan Tandok</x:v>
      </x:c>
      <x:c r="C19" s="26" t="str">
        <x:v>Separate frontage premise</x:v>
      </x:c>
      <x:c r="D19" s="26" t="str">
        <x:v>Confirmed public address</x:v>
      </x:c>
      <x:c r="E19" s="26" t="str">
        <x:v>https://www.bizmalay.com/commercial-business-link-016-302-6699</x:v>
      </x:c>
      <x:c r="F19" s="26" t="str"/>
      <x:c r="G19" s="4"/>
      <x:c r="H19" s="4"/>
      <x:c r="I19" s="4"/>
      <x:c r="J19" s="4"/>
    </x:row>
    <x:row r="20">
      <x:c r="A20" s="26" t="str">
        <x:v>Upper-level evidence</x:v>
      </x:c>
      <x:c r="B20" s="26" t="str">
        <x:v>51A, Jalan Tandok</x:v>
      </x:c>
      <x:c r="C20" s="26" t="str">
        <x:v>Apartment/upper-level address exists</x:v>
      </x:c>
      <x:c r="D20" s="26" t="str">
        <x:v>Confirmed public address</x:v>
      </x:c>
      <x:c r="E20" s="26" t="str">
        <x:v>https://my.worldorgs.com/katalog/kuala-lumpur/kompleks-pangsapuri</x:v>
      </x:c>
      <x:c r="F20" s="26" t="str"/>
      <x:c r="G20" s="4"/>
      <x:c r="H20" s="4"/>
      <x:c r="I20" s="4"/>
      <x:c r="J20" s="4"/>
    </x:row>
    <x:row r="21">
      <x:c r="A21" s="26" t="str">
        <x:v>Frontage address</x:v>
      </x:c>
      <x:c r="B21" s="26" t="str">
        <x:v>57 Ground Floor</x:v>
      </x:c>
      <x:c r="C21" s="26" t="str">
        <x:v>Ground-floor commercial occupation</x:v>
      </x:c>
      <x:c r="D21" s="26" t="str">
        <x:v>Confirmed public address</x:v>
      </x:c>
      <x:c r="E21" s="26" t="str">
        <x:v>https://maikurotechnologies.com/products/</x:v>
      </x:c>
      <x:c r="F21" s="26" t="str"/>
      <x:c r="G21" s="4"/>
      <x:c r="H21" s="4"/>
      <x:c r="I21" s="4"/>
      <x:c r="J21" s="4"/>
    </x:row>
    <x:row r="22">
      <x:c r="A22" s="26" t="str">
        <x:v>Upper-level evidence</x:v>
      </x:c>
      <x:c r="B22" s="26" t="str">
        <x:v>59-1, Flat Taman Taiping</x:v>
      </x:c>
      <x:c r="C22" s="26" t="str">
        <x:v>At least one first-floor/upper-level separately addressed premise</x:v>
      </x:c>
      <x:c r="D22" s="26" t="str">
        <x:v>Confirmed public address</x:v>
      </x:c>
      <x:c r="E22" s="26" t="str">
        <x:v>https://evendo.com/locations/malaysia/kuala-lumpur/shop/arcadia-kl</x:v>
      </x:c>
      <x:c r="F22" s="26" t="str"/>
      <x:c r="G22" s="4"/>
      <x:c r="H22" s="4"/>
      <x:c r="I22" s="4"/>
      <x:c r="J22" s="4"/>
    </x:row>
    <x:row r="23">
      <x:c r="A23" s="26" t="str">
        <x:v>Observed numbering span</x:v>
      </x:c>
      <x:c r="B23" s="26" t="str">
        <x:v>21 to 59 (odd-numbered examples)</x:v>
      </x:c>
      <x:c r="C23" s="26" t="str">
        <x:v>If numbering is continuous, up to ~20 frontage bays may exist</x:v>
      </x:c>
      <x:c r="D23" s="26" t="str">
        <x:v>Inference</x:v>
      </x:c>
      <x:c r="E23" s="26" t="str">
        <x:v>Multiple sources above</x:v>
      </x:c>
      <x:c r="F23" s="26" t="str">
        <x:v>Do not treat as 20 legal titles until strata roll is checked.</x:v>
      </x:c>
      <x:c r="G23" s="4"/>
      <x:c r="H23" s="4"/>
      <x:c r="I23" s="4"/>
      <x:c r="J23" s="4"/>
    </x:row>
    <x:row r="24">
      <x:c r="A24" s="26" t="str">
        <x:v>Working owner-count proxy</x:v>
      </x:c>
      <x:c r="B24" s="26" t="n">
        <x:v>40</x:v>
      </x:c>
      <x:c r="C24" s="26" t="str">
        <x:v>interests</x:v>
      </x:c>
      <x:c r="D24" s="26" t="str">
        <x:v>Screening assumption</x:v>
      </x:c>
      <x:c r="E24" s="26" t="str"/>
      <x:c r="F24" s="26" t="str">
        <x:v>Represents ~20 frontage bays x 2 levels only as a stress test, not a factual title count.</x:v>
      </x:c>
      <x:c r="G24" s="4"/>
      <x:c r="H24" s="4"/>
      <x:c r="I24" s="4"/>
      <x:c r="J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>
      <x:c r="A27" s="203" t="str">
        <x:v>3. Base Economics Using 1.289-acre Public-Map Proxy</x:v>
      </x:c>
      <x:c r="B27" s="203"/>
      <x:c r="C27" s="203"/>
      <x:c r="D27" s="203"/>
      <x:c r="E27" s="203"/>
      <x:c r="F27" s="203"/>
      <x:c r="G27" s="203"/>
      <x:c r="H27" s="203"/>
      <x:c r="I27" s="4"/>
      <x:c r="J27" s="4"/>
    </x:row>
    <x:row r="28">
      <x:c r="A28" s="26" t="str">
        <x:v>Metric</x:v>
      </x:c>
      <x:c r="B28" s="26" t="str">
        <x:v>Value</x:v>
      </x:c>
      <x:c r="C28" s="26" t="str">
        <x:v>Unit</x:v>
      </x:c>
      <x:c r="D28" s="26" t="str">
        <x:v>Source / formula</x:v>
      </x:c>
      <x:c r="E28" s="26" t="str">
        <x:v>Interpretation</x:v>
      </x:c>
      <x:c r="F28" s="26" t="str"/>
      <x:c r="G28" s="26" t="str"/>
      <x:c r="H28" s="26" t="str"/>
      <x:c r="I28" s="4"/>
      <x:c r="J28" s="4"/>
    </x:row>
    <x:row r="29">
      <x:c r="A29" s="26" t="str">
        <x:v>Proxy site area</x:v>
      </x:c>
      <x:c r="B29" s="207" t="n">
        <x:v>1.2886663</x:v>
      </x:c>
      <x:c r="C29" s="26" t="str">
        <x:v>acres</x:v>
      </x:c>
      <x:c r="D29" s="26" t="str">
        <x:v>OSM polygon geometry</x:v>
      </x:c>
      <x:c r="E29" s="26" t="str">
        <x:v>Not official DBKL area</x:v>
      </x:c>
      <x:c r="F29" s="26" t="str"/>
      <x:c r="G29" s="26" t="str"/>
      <x:c r="H29" s="26" t="str"/>
      <x:c r="I29" s="4"/>
      <x:c r="J29" s="4"/>
    </x:row>
    <x:row r="30">
      <x:c r="A30" s="26" t="str">
        <x:v>Base RLV / acre</x:v>
      </x:c>
      <x:c r="B30" s="139" t="n">
        <x:f>'RLV Summary'!C4</x:f>
        <x:v>21.40712639999998</x:v>
      </x:c>
      <x:c r="C30" s="26" t="str">
        <x:v>RM m/acre</x:v>
      </x:c>
      <x:c r="D30" s="26" t="str">
        <x:v>Linked from RLV Summary</x:v>
      </x:c>
      <x:c r="E30" s="26" t="str">
        <x:v>Prior development model</x:v>
      </x:c>
      <x:c r="F30" s="26" t="str"/>
      <x:c r="G30" s="26" t="str"/>
      <x:c r="H30" s="26" t="str"/>
      <x:c r="I30" s="4"/>
      <x:c r="J30" s="4"/>
    </x:row>
    <x:row r="31">
      <x:c r="A31" s="26" t="str">
        <x:v>Total base RLV</x:v>
      </x:c>
      <x:c r="B31" s="138" t="n">
        <x:f>B29*B30</x:f>
        <x:v>27.5866423715203</x:v>
      </x:c>
      <x:c r="C31" s="26" t="str">
        <x:v>RM m</x:v>
      </x:c>
      <x:c r="D31" s="26" t="str">
        <x:v>Area × RLV/acre</x:v>
      </x:c>
      <x:c r="E31" s="26" t="str">
        <x:v>Total land/owner budget in base case</x:v>
      </x:c>
      <x:c r="F31" s="26" t="str"/>
      <x:c r="G31" s="26" t="str"/>
      <x:c r="H31" s="26" t="str"/>
      <x:c r="I31" s="4"/>
      <x:c r="J31" s="4"/>
    </x:row>
    <x:row r="32">
      <x:c r="A32" s="26" t="str">
        <x:v>Weighted current owner value</x:v>
      </x:c>
      <x:c r="B32" s="137" t="n">
        <x:f>'Taman Taiping Owner Econ'!B22</x:f>
        <x:v>752500</x:v>
      </x:c>
      <x:c r="C32" s="26" t="str">
        <x:v>RM/interest</x:v>
      </x:c>
      <x:c r="D32" s="26" t="str">
        <x:v>Linked from Taman Taiping Owner Econ</x:v>
      </x:c>
      <x:c r="E32" s="26" t="str">
        <x:v>75% residential / 25% commercial proxy</x:v>
      </x:c>
      <x:c r="F32" s="26" t="str"/>
      <x:c r="G32" s="26" t="str"/>
      <x:c r="H32" s="26" t="str"/>
      <x:c r="I32" s="4"/>
      <x:c r="J32" s="4"/>
    </x:row>
    <x:row r="33">
      <x:c r="A33" s="26" t="str">
        <x:v>Required package at 30% uplift</x:v>
      </x:c>
      <x:c r="B33" s="137" t="n">
        <x:f>'Taman Taiping Owner Econ'!B23</x:f>
        <x:v>978250</x:v>
      </x:c>
      <x:c r="C33" s="26" t="str">
        <x:v>RM/interest</x:v>
      </x:c>
      <x:c r="D33" s="26" t="str">
        <x:v>Linked from Taman Taiping Owner Econ</x:v>
      </x:c>
      <x:c r="E33" s="26" t="str">
        <x:v>Owner acceptance proxy</x:v>
      </x:c>
      <x:c r="F33" s="26" t="str"/>
      <x:c r="G33" s="26" t="str"/>
      <x:c r="H33" s="26" t="str"/>
      <x:c r="I33" s="4"/>
      <x:c r="J33" s="4"/>
    </x:row>
    <x:row r="34">
      <x:c r="A34" s="26" t="str">
        <x:v>Max interests supportable at 30% uplift</x:v>
      </x:c>
      <x:c r="B34" s="208" t="n">
        <x:f>B31*1000000/B33</x:f>
        <x:v>28.199992201911883</x:v>
      </x:c>
      <x:c r="C34" s="26" t="str">
        <x:v>interests</x:v>
      </x:c>
      <x:c r="D34" s="26" t="str">
        <x:v>Total RLV ÷ required package</x:v>
      </x:c>
      <x:c r="E34" s="26" t="str">
        <x:v>Key go/no-go metric</x:v>
      </x:c>
      <x:c r="F34" s="26" t="str"/>
      <x:c r="G34" s="26" t="str"/>
      <x:c r="H34" s="26" t="str"/>
      <x:c r="I34" s="4"/>
      <x:c r="J34" s="4"/>
    </x:row>
    <x:row r="35">
      <x:c r="A35" s="26" t="str">
        <x:v>Base conclusion</x:v>
      </x:c>
      <x:c r="B35" s="205" t="str">
        <x:f>IF(B34&gt;=40,"Base case can support the 40-interest stress test",IF(B34&gt;=30,"Base case supports around 30-39 interests; 40-interest proxy is too dense","Base case supports fewer than 30 interests; ownership density is the main constraint"))</x:f>
        <x:v>Base case supports fewer than 30 interests; ownership density is the main constraint</x:v>
      </x:c>
      <x:c r="C35" s="26" t="str"/>
      <x:c r="D35" s="26" t="str"/>
      <x:c r="E35" s="26" t="str"/>
      <x:c r="F35" s="26" t="str"/>
      <x:c r="G35" s="26" t="str"/>
      <x:c r="H35" s="26" t="str"/>
      <x:c r="I35" s="4"/>
      <x:c r="J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>
      <x:c r="A38" s="203" t="str">
        <x:v>4. What ASP Is Needed to Give Owners 30% Uplift?</x:v>
      </x:c>
      <x:c r="B38" s="203"/>
      <x:c r="C38" s="203"/>
      <x:c r="D38" s="203"/>
      <x:c r="E38" s="203"/>
      <x:c r="F38" s="203"/>
      <x:c r="G38" s="203"/>
      <x:c r="H38" s="4"/>
      <x:c r="I38" s="4"/>
      <x:c r="J38" s="4"/>
    </x:row>
    <x:row r="39">
      <x:c r="A39" s="26" t="str">
        <x:v>Assumed ownership interests</x:v>
      </x:c>
      <x:c r="B39" s="26" t="n">
        <x:v>20</x:v>
      </x:c>
      <x:c r="C39" s="26" t="n">
        <x:v>30</x:v>
      </x:c>
      <x:c r="D39" s="26" t="n">
        <x:v>40</x:v>
      </x:c>
      <x:c r="E39" s="26" t="n">
        <x:v>50</x:v>
      </x:c>
      <x:c r="F39" s="26" t="n">
        <x:v>60</x:v>
      </x:c>
      <x:c r="G39" s="26" t="str">
        <x:v>Comment</x:v>
      </x:c>
      <x:c r="H39" s="4"/>
      <x:c r="I39" s="4"/>
      <x:c r="J39" s="4"/>
    </x:row>
    <x:row r="40">
      <x:c r="A40" s="26" t="str">
        <x:v>Required total owner budget (RM m)</x:v>
      </x:c>
      <x:c r="B40" s="138" t="n">
        <x:f>B$39*$B$33/1000000</x:f>
        <x:v>19.565</x:v>
      </x:c>
      <x:c r="C40" s="138" t="n">
        <x:f>C$39*$B$33/1000000</x:f>
        <x:v>29.3475</x:v>
      </x:c>
      <x:c r="D40" s="138" t="n">
        <x:f>D$39*$B$33/1000000</x:f>
        <x:v>39.13</x:v>
      </x:c>
      <x:c r="E40" s="138" t="n">
        <x:f>E$39*$B$33/1000000</x:f>
        <x:v>48.9125</x:v>
      </x:c>
      <x:c r="F40" s="138" t="n">
        <x:f>F$39*$B$33/1000000</x:f>
        <x:v>58.695</x:v>
      </x:c>
      <x:c r="G40" s="26" t="str">
        <x:v>30% uplift over weighted current value</x:v>
      </x:c>
      <x:c r="H40" s="4"/>
      <x:c r="I40" s="4"/>
      <x:c r="J40" s="4"/>
    </x:row>
    <x:row r="41">
      <x:c r="A41" s="26" t="str">
        <x:v>Required RLV / acre (RM m)</x:v>
      </x:c>
      <x:c r="B41" s="138" t="n">
        <x:f>B40/$B$29</x:f>
        <x:v>15.182363347283932</x:v>
      </x:c>
      <x:c r="C41" s="138" t="n">
        <x:f>C40/$B$29</x:f>
        <x:v>22.773545020925898</x:v>
      </x:c>
      <x:c r="D41" s="138" t="n">
        <x:f>D40/$B$29</x:f>
        <x:v>30.364726694567864</x:v>
      </x:c>
      <x:c r="E41" s="138" t="n">
        <x:f>E40/$B$29</x:f>
        <x:v>37.95590836820983</x:v>
      </x:c>
      <x:c r="F41" s="138" t="n">
        <x:f>F40/$B$29</x:f>
        <x:v>45.547090041851796</x:v>
      </x:c>
      <x:c r="G41" s="26" t="str">
        <x:v>Owner budget ÷ 1.289-acre proxy</x:v>
      </x:c>
      <x:c r="H41" s="4"/>
      <x:c r="I41" s="4"/>
      <x:c r="J41" s="4"/>
    </x:row>
    <x:row r="42">
      <x:c r="A42" s="26" t="str">
        <x:v>Required ASP at base PR 4 (RM/sf)</x:v>
      </x:c>
      <x:c r="B42" s="140" t="n">
        <x:f>((B41+(43560*4*400*(1+8%+5%)/1000000))/(1-3%-3%-5%-2%-20%))*1000000/(43560*4*78%)</x:f>
        <x:v>1031.6394486571955</x:v>
      </x:c>
      <x:c r="C42" s="140" t="n">
        <x:f>((C41+(43560*4*400*(1+8%+5%)/1000000))/(1-3%-3%-5%-2%-20%))*1000000/(43560*4*78%)</x:f>
        <x:v>1115.0060539655099</x:v>
      </x:c>
      <x:c r="D42" s="140" t="n">
        <x:f>((D41+(43560*4*400*(1+8%+5%)/1000000))/(1-3%-3%-5%-2%-20%))*1000000/(43560*4*78%)</x:f>
        <x:v>1198.3726592738244</x:v>
      </x:c>
      <x:c r="E42" s="140" t="n">
        <x:f>((E41+(43560*4*400*(1+8%+5%)/1000000))/(1-3%-3%-5%-2%-20%))*1000000/(43560*4*78%)</x:f>
        <x:v>1281.739264582139</x:v>
      </x:c>
      <x:c r="F42" s="140" t="n">
        <x:f>((F41+(43560*4*400*(1+8%+5%)/1000000))/(1-3%-3%-5%-2%-20%))*1000000/(43560*4*78%)</x:f>
        <x:v>1365.1058698904533</x:v>
      </x:c>
      <x:c r="G42" s="26" t="str">
        <x:v>Holding cost structure and 20% profit hurdle constant</x:v>
      </x:c>
      <x:c r="H42" s="4"/>
      <x:c r="I42" s="4"/>
      <x:c r="J42" s="4"/>
    </x:row>
    <x:row r="43">
      <x:c r="A43" s="26" t="str">
        <x:v>Owner premium at current RM1,100 ASP</x:v>
      </x:c>
      <x:c r="B43" s="209" t="n">
        <x:f>(($B$31*1000000/B$39)/$B$32)-1</x:f>
        <x:v>0.8329994931242723</x:v>
      </x:c>
      <x:c r="C43" s="209" t="n">
        <x:f>(($B$31*1000000/C$39)/$B$32)-1</x:f>
        <x:v>0.22199966208284816</x:v>
      </x:c>
      <x:c r="D43" s="209" t="n">
        <x:f>(($B$31*1000000/D$39)/$B$32)-1</x:f>
        <x:v>-0.08350025343786383</x:v>
      </x:c>
      <x:c r="E43" s="209" t="n">
        <x:f>(($B$31*1000000/E$39)/$B$32)-1</x:f>
        <x:v>-0.26680020275029104</x:v>
      </x:c>
      <x:c r="F43" s="209" t="n">
        <x:f>(($B$31*1000000/F$39)/$B$32)-1</x:f>
        <x:v>-0.3890001689585759</x:v>
      </x:c>
      <x:c r="G43" s="26" t="str">
        <x:v>Premium/(discount) to weighted current owner value</x:v>
      </x:c>
      <x:c r="H43" s="4"/>
      <x:c r="I43" s="4"/>
      <x:c r="J43" s="4"/>
    </x:row>
    <x:row r="44">
      <x:c r="A44" s="26" t="str">
        <x:v>Required PR if ASP stays RM1,100</x:v>
      </x:c>
      <x:c r="B44" s="134" t="n">
        <x:f>(B41*1000000)/(43560*((1-3%-3%-5%-2%-20%)*78%*1100-(1+8%+5%)*400))</x:f>
        <x:v>2.8368802171007785</x:v>
      </x:c>
      <x:c r="C44" s="134" t="n">
        <x:f>(C41*1000000)/(43560*((1-3%-3%-5%-2%-20%)*78%*1100-(1+8%+5%)*400))</x:f>
        <x:v>4.255320325651168</x:v>
      </x:c>
      <x:c r="D44" s="134" t="n">
        <x:f>(D41*1000000)/(43560*((1-3%-3%-5%-2%-20%)*78%*1100-(1+8%+5%)*400))</x:f>
        <x:v>5.673760434201557</x:v>
      </x:c>
      <x:c r="E44" s="134" t="n">
        <x:f>(E41*1000000)/(43560*((1-3%-3%-5%-2%-20%)*78%*1100-(1+8%+5%)*400))</x:f>
        <x:v>7.092200542751947</x:v>
      </x:c>
      <x:c r="F44" s="134" t="n">
        <x:f>(F41*1000000)/(43560*((1-3%-3%-5%-2%-20%)*78%*1100-(1+8%+5%)*400))</x:f>
        <x:v>8.510640651302335</x:v>
      </x:c>
      <x:c r="G44" s="26" t="str">
        <x:v>Shows how much density uplift would be required instead of price uplift</x:v>
      </x:c>
      <x:c r="H44" s="4"/>
      <x:c r="I44" s="4"/>
      <x:c r="J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</x:row>
    <x:row r="47">
      <x:c r="A47" s="204" t="str">
        <x:v>Current Screening Verdict</x:v>
      </x:c>
      <x:c r="B47" s="204"/>
      <x:c r="C47" s="204"/>
      <x:c r="D47" s="204"/>
      <x:c r="E47" s="204"/>
      <x:c r="F47" s="204"/>
      <x:c r="G47" s="204"/>
      <x:c r="H47" s="204"/>
      <x:c r="I47" s="204"/>
      <x:c r="J47" s="204"/>
    </x:row>
    <x:row r="48">
      <x:c r="A48" s="201" t="str">
        <x:v>Using the public OpenStreetMap Taman Taiping polygon as a non-legal proxy gives ~1.29 acres. At the current base RLV of RM21.41m/acre, that implies total residual land/owner capacity of roughly RM27.6m. With the current owner-value mix and a 30% owner uplift target, the scheme can support only about 28 ownership interests. Public address evidence already shows a broad frontage numbering span (21 through 59), multiple ground-floor commercial premises, and at least one separately addressed upper-floor premise. A 40-interest stress case is therefore more credible than the earlier 20-interest case, although it remains only an inference until the strata roll is obtained. Under 40 interests, base ASP RM1,100 is insufficient; the project needs roughly RM1,200 psf achievable ASP at PR 4, or an effective PR of ~5.7x if ASP remains RM1,100. Therefore Taman Taiping is no longer a clear 'cheap latent land' opportunity. It is a conditional redevelopment option whose value depends on actual strata count, legal site area, commercial-owner compensation, and any additional PTKL redevelopment incentive.</x:v>
      </x:c>
      <x:c r="B48" s="201"/>
      <x:c r="C48" s="201"/>
      <x:c r="D48" s="201"/>
      <x:c r="E48" s="201"/>
      <x:c r="F48" s="201"/>
      <x:c r="G48" s="201"/>
      <x:c r="H48" s="201"/>
      <x:c r="I48" s="201"/>
      <x:c r="J48" s="201"/>
    </x:row>
    <x:row r="49">
      <x:c r="A49" s="201"/>
      <x:c r="B49" s="201"/>
      <x:c r="C49" s="201"/>
      <x:c r="D49" s="201"/>
      <x:c r="E49" s="201"/>
      <x:c r="F49" s="201"/>
      <x:c r="G49" s="201"/>
      <x:c r="H49" s="201"/>
      <x:c r="I49" s="201"/>
      <x:c r="J49" s="201"/>
    </x:row>
    <x:row r="50">
      <x:c r="A50" s="201"/>
      <x:c r="B50" s="201"/>
      <x:c r="C50" s="201"/>
      <x:c r="D50" s="201"/>
      <x:c r="E50" s="201"/>
      <x:c r="F50" s="201"/>
      <x:c r="G50" s="201"/>
      <x:c r="H50" s="201"/>
      <x:c r="I50" s="201"/>
      <x:c r="J50" s="201"/>
    </x:row>
    <x:row r="51">
      <x:c r="A51" s="201"/>
      <x:c r="B51" s="201"/>
      <x:c r="C51" s="201"/>
      <x:c r="D51" s="201"/>
      <x:c r="E51" s="201"/>
      <x:c r="F51" s="201"/>
      <x:c r="G51" s="201"/>
      <x:c r="H51" s="201"/>
      <x:c r="I51" s="201"/>
      <x:c r="J51" s="201"/>
    </x:row>
    <x:row r="52">
      <x:c r="A52" s="201"/>
      <x:c r="B52" s="201"/>
      <x:c r="C52" s="201"/>
      <x:c r="D52" s="201"/>
      <x:c r="E52" s="201"/>
      <x:c r="F52" s="201"/>
      <x:c r="G52" s="201"/>
      <x:c r="H52" s="201"/>
      <x:c r="I52" s="201"/>
      <x:c r="J52" s="201"/>
    </x:row>
    <x:row r="53">
      <x:c r="A53" s="201"/>
      <x:c r="B53" s="201"/>
      <x:c r="C53" s="201"/>
      <x:c r="D53" s="201"/>
      <x:c r="E53" s="201"/>
      <x:c r="F53" s="201"/>
      <x:c r="G53" s="201"/>
      <x:c r="H53" s="201"/>
      <x:c r="I53" s="201"/>
      <x:c r="J53" s="201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</x:sheetData>
  <x:mergeCells>
    <x:mergeCell ref="A1:J1"/>
    <x:mergeCell ref="A3:F3"/>
    <x:mergeCell ref="A13:F13"/>
    <x:mergeCell ref="A27:H27"/>
    <x:mergeCell ref="A38:G38"/>
    <x:mergeCell ref="A47:J47"/>
    <x:mergeCell ref="A48:J53"/>
  </x:mergeCells>
  <x:conditionalFormatting sqref="B42:F42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B43:F4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3">
    <x:tablePart xmlns:r="http://schemas.openxmlformats.org/officeDocument/2006/relationships" r:id="R91ec3f235adf4f1c"/>
    <x:tablePart xmlns:r="http://schemas.openxmlformats.org/officeDocument/2006/relationships" r:id="R7818660a9bc74a4e"/>
    <x:tablePart xmlns:r="http://schemas.openxmlformats.org/officeDocument/2006/relationships" r:id="Rcac65a442ba0420a"/>
  </x:tableParts>
</x:worksheet>
</file>